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70" windowWidth="20730" windowHeight="11580" activeTab="3"/>
  </bookViews>
  <sheets>
    <sheet name="Products" sheetId="1" r:id="rId1"/>
    <sheet name="Employees" sheetId="2" r:id="rId2"/>
    <sheet name="Sales" sheetId="3" r:id="rId3"/>
    <sheet name="Report" sheetId="4" r:id="rId4"/>
  </sheets>
  <definedNames>
    <definedName name="_xlnm._FilterDatabase" localSheetId="0" hidden="1">Products!$A$1:$G$16</definedName>
  </definedNames>
  <calcPr calcId="145621"/>
</workbook>
</file>

<file path=xl/calcChain.xml><?xml version="1.0" encoding="utf-8"?>
<calcChain xmlns="http://schemas.openxmlformats.org/spreadsheetml/2006/main">
  <c r="B13" i="4" l="1"/>
  <c r="B12" i="4"/>
  <c r="L14" i="4"/>
  <c r="L15" i="4"/>
  <c r="L16" i="4"/>
  <c r="L17" i="4"/>
  <c r="L18" i="4"/>
  <c r="L19" i="4"/>
  <c r="L20" i="4"/>
  <c r="L13" i="4"/>
  <c r="M7" i="4"/>
  <c r="M8" i="4"/>
  <c r="M9" i="4"/>
  <c r="M10" i="4"/>
  <c r="M6" i="4"/>
  <c r="L7" i="4"/>
  <c r="L8" i="4"/>
  <c r="L9" i="4"/>
  <c r="L10" i="4"/>
  <c r="L6" i="4"/>
  <c r="H7" i="4"/>
  <c r="H8" i="4"/>
  <c r="H9" i="4"/>
  <c r="H10" i="4"/>
  <c r="H11" i="4"/>
  <c r="H12" i="4"/>
  <c r="H13" i="4"/>
  <c r="H14" i="4"/>
  <c r="H15" i="4"/>
  <c r="I15" i="4" s="1"/>
  <c r="H16" i="4"/>
  <c r="I16" i="4" s="1"/>
  <c r="H17" i="4"/>
  <c r="H6" i="4"/>
  <c r="I6" i="4" s="1"/>
  <c r="G7" i="4"/>
  <c r="G8" i="4"/>
  <c r="I8" i="4" s="1"/>
  <c r="G9" i="4"/>
  <c r="I9" i="4" s="1"/>
  <c r="G10" i="4"/>
  <c r="G11" i="4"/>
  <c r="G12" i="4"/>
  <c r="I12" i="4" s="1"/>
  <c r="G13" i="4"/>
  <c r="I13" i="4" s="1"/>
  <c r="G14" i="4"/>
  <c r="G15" i="4"/>
  <c r="G16" i="4"/>
  <c r="G17" i="4"/>
  <c r="G6" i="4"/>
  <c r="F7" i="4"/>
  <c r="F8" i="4"/>
  <c r="F9" i="4"/>
  <c r="F10" i="4"/>
  <c r="F11" i="4"/>
  <c r="F12" i="4"/>
  <c r="F13" i="4"/>
  <c r="F14" i="4"/>
  <c r="F15" i="4"/>
  <c r="F16" i="4"/>
  <c r="F17" i="4"/>
  <c r="F6" i="4"/>
  <c r="I7" i="4"/>
  <c r="I10" i="4"/>
  <c r="I11" i="4"/>
  <c r="I14" i="4"/>
  <c r="B7" i="4"/>
  <c r="B8" i="4"/>
  <c r="B6" i="4"/>
  <c r="N3" i="3"/>
  <c r="O3" i="3"/>
  <c r="N4" i="3"/>
  <c r="O4" i="3"/>
  <c r="N5" i="3"/>
  <c r="O5" i="3"/>
  <c r="N6" i="3"/>
  <c r="O6" i="3"/>
  <c r="N7" i="3"/>
  <c r="O7" i="3"/>
  <c r="N8" i="3"/>
  <c r="O8" i="3"/>
  <c r="N9" i="3"/>
  <c r="O9" i="3"/>
  <c r="N10" i="3"/>
  <c r="O10" i="3"/>
  <c r="N11" i="3"/>
  <c r="O11" i="3"/>
  <c r="N12" i="3"/>
  <c r="O12" i="3"/>
  <c r="N13" i="3"/>
  <c r="O13" i="3"/>
  <c r="N14" i="3"/>
  <c r="O14" i="3"/>
  <c r="N15" i="3"/>
  <c r="O15" i="3"/>
  <c r="N16" i="3"/>
  <c r="O16" i="3"/>
  <c r="N17" i="3"/>
  <c r="O17" i="3"/>
  <c r="N18" i="3"/>
  <c r="O18" i="3"/>
  <c r="N19" i="3"/>
  <c r="O19" i="3"/>
  <c r="N20" i="3"/>
  <c r="O20" i="3"/>
  <c r="N21" i="3"/>
  <c r="O21" i="3"/>
  <c r="N22" i="3"/>
  <c r="O22" i="3"/>
  <c r="N23" i="3"/>
  <c r="O23" i="3"/>
  <c r="N24" i="3"/>
  <c r="O24" i="3"/>
  <c r="N25" i="3"/>
  <c r="O25" i="3"/>
  <c r="N26" i="3"/>
  <c r="O26" i="3"/>
  <c r="N27" i="3"/>
  <c r="O27" i="3"/>
  <c r="N28" i="3"/>
  <c r="O28" i="3"/>
  <c r="N29" i="3"/>
  <c r="O2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N42" i="3"/>
  <c r="O42" i="3"/>
  <c r="N43" i="3"/>
  <c r="O43" i="3"/>
  <c r="N44" i="3"/>
  <c r="O44" i="3"/>
  <c r="N45" i="3"/>
  <c r="O45" i="3"/>
  <c r="N46" i="3"/>
  <c r="O46" i="3"/>
  <c r="N47" i="3"/>
  <c r="O47" i="3"/>
  <c r="N48" i="3"/>
  <c r="O48" i="3"/>
  <c r="N49" i="3"/>
  <c r="O49" i="3"/>
  <c r="N50" i="3"/>
  <c r="O50" i="3"/>
  <c r="N51" i="3"/>
  <c r="O51" i="3"/>
  <c r="N52" i="3"/>
  <c r="O52" i="3"/>
  <c r="N53" i="3"/>
  <c r="O53" i="3"/>
  <c r="N54" i="3"/>
  <c r="O54" i="3"/>
  <c r="N55" i="3"/>
  <c r="O55" i="3"/>
  <c r="N56" i="3"/>
  <c r="O56" i="3"/>
  <c r="N57" i="3"/>
  <c r="O57" i="3"/>
  <c r="N58" i="3"/>
  <c r="O58" i="3"/>
  <c r="N59" i="3"/>
  <c r="O59" i="3"/>
  <c r="N60" i="3"/>
  <c r="O60" i="3"/>
  <c r="N61" i="3"/>
  <c r="O61" i="3"/>
  <c r="N62" i="3"/>
  <c r="O62" i="3"/>
  <c r="N63" i="3"/>
  <c r="O63" i="3"/>
  <c r="N64" i="3"/>
  <c r="O64" i="3"/>
  <c r="N65" i="3"/>
  <c r="O65" i="3"/>
  <c r="N66" i="3"/>
  <c r="O66" i="3"/>
  <c r="N67" i="3"/>
  <c r="O67" i="3"/>
  <c r="N68" i="3"/>
  <c r="O68" i="3"/>
  <c r="N69" i="3"/>
  <c r="O69" i="3"/>
  <c r="N70" i="3"/>
  <c r="O70" i="3"/>
  <c r="N71" i="3"/>
  <c r="O71" i="3"/>
  <c r="N72" i="3"/>
  <c r="O72" i="3"/>
  <c r="N73" i="3"/>
  <c r="O73" i="3"/>
  <c r="N74" i="3"/>
  <c r="O74" i="3"/>
  <c r="N75" i="3"/>
  <c r="O75" i="3"/>
  <c r="N76" i="3"/>
  <c r="O76" i="3"/>
  <c r="N77" i="3"/>
  <c r="O77" i="3"/>
  <c r="N78" i="3"/>
  <c r="O78" i="3"/>
  <c r="N79" i="3"/>
  <c r="O79" i="3"/>
  <c r="N80" i="3"/>
  <c r="O80" i="3"/>
  <c r="N81" i="3"/>
  <c r="O81" i="3"/>
  <c r="N82" i="3"/>
  <c r="O82" i="3"/>
  <c r="N83" i="3"/>
  <c r="O83" i="3"/>
  <c r="N84" i="3"/>
  <c r="O84" i="3"/>
  <c r="N85" i="3"/>
  <c r="O85" i="3"/>
  <c r="N86" i="3"/>
  <c r="O86" i="3"/>
  <c r="N87" i="3"/>
  <c r="O87" i="3"/>
  <c r="N88" i="3"/>
  <c r="O88" i="3"/>
  <c r="N89" i="3"/>
  <c r="O89" i="3"/>
  <c r="N90" i="3"/>
  <c r="O90" i="3"/>
  <c r="N91" i="3"/>
  <c r="O91" i="3"/>
  <c r="N92" i="3"/>
  <c r="O92" i="3"/>
  <c r="N93" i="3"/>
  <c r="O93" i="3"/>
  <c r="N94" i="3"/>
  <c r="O94" i="3"/>
  <c r="N95" i="3"/>
  <c r="O95" i="3"/>
  <c r="N96" i="3"/>
  <c r="O96" i="3"/>
  <c r="N97" i="3"/>
  <c r="O97" i="3"/>
  <c r="N98" i="3"/>
  <c r="O98" i="3"/>
  <c r="N99" i="3"/>
  <c r="O99" i="3"/>
  <c r="N100" i="3"/>
  <c r="O100" i="3"/>
  <c r="N101" i="3"/>
  <c r="O101" i="3"/>
  <c r="N102" i="3"/>
  <c r="O102" i="3"/>
  <c r="N103" i="3"/>
  <c r="O103" i="3"/>
  <c r="N104" i="3"/>
  <c r="O104" i="3"/>
  <c r="N105" i="3"/>
  <c r="O105" i="3"/>
  <c r="N106" i="3"/>
  <c r="O106" i="3"/>
  <c r="N107" i="3"/>
  <c r="O107" i="3"/>
  <c r="N108" i="3"/>
  <c r="O108" i="3"/>
  <c r="N109" i="3"/>
  <c r="O109" i="3"/>
  <c r="N110" i="3"/>
  <c r="O110" i="3"/>
  <c r="N111" i="3"/>
  <c r="O111" i="3"/>
  <c r="N112" i="3"/>
  <c r="O112" i="3"/>
  <c r="N113" i="3"/>
  <c r="O113" i="3"/>
  <c r="N114" i="3"/>
  <c r="O114" i="3"/>
  <c r="N115" i="3"/>
  <c r="O115" i="3"/>
  <c r="N116" i="3"/>
  <c r="O116" i="3"/>
  <c r="N117" i="3"/>
  <c r="O117" i="3"/>
  <c r="N118" i="3"/>
  <c r="O118" i="3"/>
  <c r="N119" i="3"/>
  <c r="O119" i="3"/>
  <c r="N120" i="3"/>
  <c r="O120" i="3"/>
  <c r="N121" i="3"/>
  <c r="O121" i="3"/>
  <c r="N122" i="3"/>
  <c r="O122" i="3"/>
  <c r="N123" i="3"/>
  <c r="O123" i="3"/>
  <c r="N124" i="3"/>
  <c r="O124" i="3"/>
  <c r="N125" i="3"/>
  <c r="O125" i="3"/>
  <c r="N126" i="3"/>
  <c r="O126" i="3"/>
  <c r="N127" i="3"/>
  <c r="O127" i="3"/>
  <c r="N128" i="3"/>
  <c r="O128" i="3"/>
  <c r="N129" i="3"/>
  <c r="O129" i="3"/>
  <c r="N130" i="3"/>
  <c r="O130" i="3"/>
  <c r="N131" i="3"/>
  <c r="O131" i="3"/>
  <c r="N132" i="3"/>
  <c r="O132" i="3"/>
  <c r="N133" i="3"/>
  <c r="O133" i="3"/>
  <c r="N134" i="3"/>
  <c r="O134" i="3"/>
  <c r="N135" i="3"/>
  <c r="O135" i="3"/>
  <c r="N136" i="3"/>
  <c r="O136" i="3"/>
  <c r="N137" i="3"/>
  <c r="O137" i="3"/>
  <c r="N138" i="3"/>
  <c r="O138" i="3"/>
  <c r="N139" i="3"/>
  <c r="O139" i="3"/>
  <c r="N140" i="3"/>
  <c r="O140" i="3"/>
  <c r="N141" i="3"/>
  <c r="O141" i="3"/>
  <c r="N142" i="3"/>
  <c r="O142" i="3"/>
  <c r="N143" i="3"/>
  <c r="O143" i="3"/>
  <c r="N144" i="3"/>
  <c r="O144" i="3"/>
  <c r="N145" i="3"/>
  <c r="O145" i="3"/>
  <c r="N146" i="3"/>
  <c r="O146" i="3"/>
  <c r="N147" i="3"/>
  <c r="O147" i="3"/>
  <c r="N148" i="3"/>
  <c r="O148" i="3"/>
  <c r="N149" i="3"/>
  <c r="O149" i="3"/>
  <c r="N150" i="3"/>
  <c r="O150" i="3"/>
  <c r="N151" i="3"/>
  <c r="O151" i="3"/>
  <c r="N152" i="3"/>
  <c r="O152" i="3"/>
  <c r="N153" i="3"/>
  <c r="O153" i="3"/>
  <c r="N154" i="3"/>
  <c r="O154" i="3"/>
  <c r="N155" i="3"/>
  <c r="O155" i="3"/>
  <c r="N156" i="3"/>
  <c r="O156" i="3"/>
  <c r="N157" i="3"/>
  <c r="O157" i="3"/>
  <c r="N158" i="3"/>
  <c r="O158" i="3"/>
  <c r="N159" i="3"/>
  <c r="O159" i="3"/>
  <c r="N160" i="3"/>
  <c r="O160" i="3"/>
  <c r="N161" i="3"/>
  <c r="O161" i="3"/>
  <c r="N162" i="3"/>
  <c r="O162" i="3"/>
  <c r="N163" i="3"/>
  <c r="O163" i="3"/>
  <c r="N164" i="3"/>
  <c r="O164" i="3"/>
  <c r="N165" i="3"/>
  <c r="O165" i="3"/>
  <c r="N166" i="3"/>
  <c r="O166" i="3"/>
  <c r="N167" i="3"/>
  <c r="O167" i="3"/>
  <c r="N168" i="3"/>
  <c r="O168" i="3"/>
  <c r="N169" i="3"/>
  <c r="O169" i="3"/>
  <c r="N170" i="3"/>
  <c r="O170" i="3"/>
  <c r="N171" i="3"/>
  <c r="O171" i="3"/>
  <c r="N172" i="3"/>
  <c r="O172" i="3"/>
  <c r="N173" i="3"/>
  <c r="O173" i="3"/>
  <c r="N174" i="3"/>
  <c r="O174" i="3"/>
  <c r="N175" i="3"/>
  <c r="O175" i="3"/>
  <c r="N176" i="3"/>
  <c r="O176" i="3"/>
  <c r="N177" i="3"/>
  <c r="O177" i="3"/>
  <c r="N178" i="3"/>
  <c r="O178" i="3"/>
  <c r="N179" i="3"/>
  <c r="O179" i="3"/>
  <c r="N180" i="3"/>
  <c r="O180" i="3"/>
  <c r="N181" i="3"/>
  <c r="O181" i="3"/>
  <c r="N182" i="3"/>
  <c r="O182" i="3"/>
  <c r="N183" i="3"/>
  <c r="O183" i="3"/>
  <c r="N184" i="3"/>
  <c r="O184" i="3"/>
  <c r="N185" i="3"/>
  <c r="O185" i="3"/>
  <c r="N186" i="3"/>
  <c r="O186" i="3"/>
  <c r="N187" i="3"/>
  <c r="O187" i="3"/>
  <c r="N188" i="3"/>
  <c r="O188" i="3"/>
  <c r="N189" i="3"/>
  <c r="O189" i="3"/>
  <c r="N190" i="3"/>
  <c r="O190" i="3"/>
  <c r="N191" i="3"/>
  <c r="O191" i="3"/>
  <c r="N192" i="3"/>
  <c r="O192" i="3"/>
  <c r="N193" i="3"/>
  <c r="O193" i="3"/>
  <c r="N194" i="3"/>
  <c r="O194" i="3"/>
  <c r="N195" i="3"/>
  <c r="O195" i="3"/>
  <c r="N196" i="3"/>
  <c r="O196" i="3"/>
  <c r="N197" i="3"/>
  <c r="O197" i="3"/>
  <c r="N198" i="3"/>
  <c r="O198" i="3"/>
  <c r="N199" i="3"/>
  <c r="O199" i="3"/>
  <c r="N200" i="3"/>
  <c r="O200" i="3"/>
  <c r="N201" i="3"/>
  <c r="O201" i="3"/>
  <c r="N202" i="3"/>
  <c r="O202" i="3"/>
  <c r="N203" i="3"/>
  <c r="O203" i="3"/>
  <c r="N204" i="3"/>
  <c r="O204" i="3"/>
  <c r="N205" i="3"/>
  <c r="O205" i="3"/>
  <c r="N206" i="3"/>
  <c r="O206" i="3"/>
  <c r="N207" i="3"/>
  <c r="O207" i="3"/>
  <c r="N208" i="3"/>
  <c r="O208" i="3"/>
  <c r="N209" i="3"/>
  <c r="O209" i="3"/>
  <c r="N210" i="3"/>
  <c r="O210" i="3"/>
  <c r="N211" i="3"/>
  <c r="O211" i="3"/>
  <c r="N212" i="3"/>
  <c r="O212" i="3"/>
  <c r="N213" i="3"/>
  <c r="O213" i="3"/>
  <c r="N214" i="3"/>
  <c r="O214" i="3"/>
  <c r="N215" i="3"/>
  <c r="O215" i="3"/>
  <c r="N216" i="3"/>
  <c r="O216" i="3"/>
  <c r="N217" i="3"/>
  <c r="O217" i="3"/>
  <c r="N218" i="3"/>
  <c r="O218" i="3"/>
  <c r="N219" i="3"/>
  <c r="O219" i="3"/>
  <c r="N220" i="3"/>
  <c r="O220" i="3"/>
  <c r="N221" i="3"/>
  <c r="O221" i="3"/>
  <c r="N222" i="3"/>
  <c r="O222" i="3"/>
  <c r="N223" i="3"/>
  <c r="O223" i="3"/>
  <c r="N224" i="3"/>
  <c r="O224" i="3"/>
  <c r="N225" i="3"/>
  <c r="O225" i="3"/>
  <c r="N226" i="3"/>
  <c r="O226" i="3"/>
  <c r="N227" i="3"/>
  <c r="O227" i="3"/>
  <c r="N228" i="3"/>
  <c r="O228" i="3"/>
  <c r="N229" i="3"/>
  <c r="O229" i="3"/>
  <c r="N230" i="3"/>
  <c r="O230" i="3"/>
  <c r="N231" i="3"/>
  <c r="O231" i="3"/>
  <c r="N232" i="3"/>
  <c r="O232" i="3"/>
  <c r="N233" i="3"/>
  <c r="O233" i="3"/>
  <c r="N234" i="3"/>
  <c r="O234" i="3"/>
  <c r="N235" i="3"/>
  <c r="O235" i="3"/>
  <c r="N236" i="3"/>
  <c r="O236" i="3"/>
  <c r="N237" i="3"/>
  <c r="O237" i="3"/>
  <c r="N238" i="3"/>
  <c r="O238" i="3"/>
  <c r="N239" i="3"/>
  <c r="O239" i="3"/>
  <c r="N240" i="3"/>
  <c r="O240" i="3"/>
  <c r="N241" i="3"/>
  <c r="O241" i="3"/>
  <c r="N242" i="3"/>
  <c r="O242" i="3"/>
  <c r="N243" i="3"/>
  <c r="O243" i="3"/>
  <c r="N244" i="3"/>
  <c r="O244" i="3"/>
  <c r="N245" i="3"/>
  <c r="O245" i="3"/>
  <c r="N246" i="3"/>
  <c r="O246" i="3"/>
  <c r="N247" i="3"/>
  <c r="O247" i="3"/>
  <c r="N248" i="3"/>
  <c r="O248" i="3"/>
  <c r="N249" i="3"/>
  <c r="O249" i="3"/>
  <c r="N250" i="3"/>
  <c r="O250" i="3"/>
  <c r="N251" i="3"/>
  <c r="O251" i="3"/>
  <c r="N252" i="3"/>
  <c r="O252" i="3"/>
  <c r="N253" i="3"/>
  <c r="O253" i="3"/>
  <c r="N254" i="3"/>
  <c r="O254" i="3"/>
  <c r="N255" i="3"/>
  <c r="O255" i="3"/>
  <c r="N256" i="3"/>
  <c r="O256" i="3"/>
  <c r="N257" i="3"/>
  <c r="O257" i="3"/>
  <c r="N258" i="3"/>
  <c r="O258" i="3"/>
  <c r="N259" i="3"/>
  <c r="O259" i="3"/>
  <c r="N260" i="3"/>
  <c r="O260" i="3"/>
  <c r="N261" i="3"/>
  <c r="O261" i="3"/>
  <c r="N262" i="3"/>
  <c r="O262" i="3"/>
  <c r="N263" i="3"/>
  <c r="O263" i="3"/>
  <c r="N264" i="3"/>
  <c r="O264" i="3"/>
  <c r="N265" i="3"/>
  <c r="O265" i="3"/>
  <c r="N266" i="3"/>
  <c r="O266" i="3"/>
  <c r="N267" i="3"/>
  <c r="O267" i="3"/>
  <c r="N268" i="3"/>
  <c r="O268" i="3"/>
  <c r="N269" i="3"/>
  <c r="O269" i="3"/>
  <c r="N270" i="3"/>
  <c r="O270" i="3"/>
  <c r="N271" i="3"/>
  <c r="O271" i="3"/>
  <c r="N272" i="3"/>
  <c r="O272" i="3"/>
  <c r="N273" i="3"/>
  <c r="O273" i="3"/>
  <c r="N274" i="3"/>
  <c r="O274" i="3"/>
  <c r="N275" i="3"/>
  <c r="O275" i="3"/>
  <c r="N276" i="3"/>
  <c r="O276" i="3"/>
  <c r="N277" i="3"/>
  <c r="O277" i="3"/>
  <c r="N278" i="3"/>
  <c r="O278" i="3"/>
  <c r="N279" i="3"/>
  <c r="O279" i="3"/>
  <c r="N280" i="3"/>
  <c r="O280" i="3"/>
  <c r="N281" i="3"/>
  <c r="O281" i="3"/>
  <c r="N282" i="3"/>
  <c r="O282" i="3"/>
  <c r="N283" i="3"/>
  <c r="O283" i="3"/>
  <c r="N284" i="3"/>
  <c r="O284" i="3"/>
  <c r="N285" i="3"/>
  <c r="O285" i="3"/>
  <c r="N286" i="3"/>
  <c r="O286" i="3"/>
  <c r="N287" i="3"/>
  <c r="O287" i="3"/>
  <c r="N288" i="3"/>
  <c r="O288" i="3"/>
  <c r="N289" i="3"/>
  <c r="O289" i="3"/>
  <c r="N290" i="3"/>
  <c r="O290" i="3"/>
  <c r="N291" i="3"/>
  <c r="O291" i="3"/>
  <c r="N292" i="3"/>
  <c r="O292" i="3"/>
  <c r="N293" i="3"/>
  <c r="O293" i="3"/>
  <c r="N294" i="3"/>
  <c r="O294" i="3"/>
  <c r="N295" i="3"/>
  <c r="O295" i="3"/>
  <c r="N296" i="3"/>
  <c r="O296" i="3"/>
  <c r="N297" i="3"/>
  <c r="O297" i="3"/>
  <c r="N298" i="3"/>
  <c r="O298" i="3"/>
  <c r="N299" i="3"/>
  <c r="O299" i="3"/>
  <c r="N300" i="3"/>
  <c r="O300" i="3"/>
  <c r="N301" i="3"/>
  <c r="O301" i="3"/>
  <c r="N302" i="3"/>
  <c r="O302" i="3"/>
  <c r="N303" i="3"/>
  <c r="O303" i="3"/>
  <c r="N304" i="3"/>
  <c r="O304" i="3"/>
  <c r="N305" i="3"/>
  <c r="O305" i="3"/>
  <c r="N306" i="3"/>
  <c r="O306" i="3"/>
  <c r="N307" i="3"/>
  <c r="O307" i="3"/>
  <c r="N308" i="3"/>
  <c r="O308" i="3"/>
  <c r="N309" i="3"/>
  <c r="O309" i="3"/>
  <c r="N310" i="3"/>
  <c r="O310" i="3"/>
  <c r="N311" i="3"/>
  <c r="O311" i="3"/>
  <c r="N312" i="3"/>
  <c r="O312" i="3"/>
  <c r="N313" i="3"/>
  <c r="O313" i="3"/>
  <c r="N314" i="3"/>
  <c r="O314" i="3"/>
  <c r="N315" i="3"/>
  <c r="O315" i="3"/>
  <c r="N316" i="3"/>
  <c r="O316" i="3"/>
  <c r="N317" i="3"/>
  <c r="O317" i="3"/>
  <c r="N318" i="3"/>
  <c r="O318" i="3"/>
  <c r="N319" i="3"/>
  <c r="O319" i="3"/>
  <c r="N320" i="3"/>
  <c r="O320" i="3"/>
  <c r="N321" i="3"/>
  <c r="O321" i="3"/>
  <c r="N322" i="3"/>
  <c r="O322" i="3"/>
  <c r="N323" i="3"/>
  <c r="O323" i="3"/>
  <c r="N324" i="3"/>
  <c r="O324" i="3"/>
  <c r="N325" i="3"/>
  <c r="O325" i="3"/>
  <c r="N326" i="3"/>
  <c r="O326" i="3"/>
  <c r="N327" i="3"/>
  <c r="O327" i="3"/>
  <c r="N328" i="3"/>
  <c r="O328" i="3"/>
  <c r="N329" i="3"/>
  <c r="O329" i="3"/>
  <c r="N330" i="3"/>
  <c r="O330" i="3"/>
  <c r="N331" i="3"/>
  <c r="O331" i="3"/>
  <c r="N332" i="3"/>
  <c r="O332" i="3"/>
  <c r="N333" i="3"/>
  <c r="O333" i="3"/>
  <c r="N334" i="3"/>
  <c r="O334" i="3"/>
  <c r="N335" i="3"/>
  <c r="O335" i="3"/>
  <c r="N336" i="3"/>
  <c r="O336" i="3"/>
  <c r="N337" i="3"/>
  <c r="O337" i="3"/>
  <c r="N338" i="3"/>
  <c r="O338" i="3"/>
  <c r="N339" i="3"/>
  <c r="O339" i="3"/>
  <c r="N340" i="3"/>
  <c r="O340" i="3"/>
  <c r="N341" i="3"/>
  <c r="O341" i="3"/>
  <c r="N342" i="3"/>
  <c r="O342" i="3"/>
  <c r="N343" i="3"/>
  <c r="O343" i="3"/>
  <c r="N344" i="3"/>
  <c r="O344" i="3"/>
  <c r="N345" i="3"/>
  <c r="O345" i="3"/>
  <c r="N346" i="3"/>
  <c r="O346" i="3"/>
  <c r="N347" i="3"/>
  <c r="O347" i="3"/>
  <c r="N348" i="3"/>
  <c r="O348" i="3"/>
  <c r="N349" i="3"/>
  <c r="O349" i="3"/>
  <c r="N350" i="3"/>
  <c r="O350" i="3"/>
  <c r="N351" i="3"/>
  <c r="O351" i="3"/>
  <c r="N352" i="3"/>
  <c r="O352" i="3"/>
  <c r="N353" i="3"/>
  <c r="O353" i="3"/>
  <c r="N354" i="3"/>
  <c r="O354" i="3"/>
  <c r="N355" i="3"/>
  <c r="O355" i="3"/>
  <c r="N356" i="3"/>
  <c r="O356" i="3"/>
  <c r="N357" i="3"/>
  <c r="O357" i="3"/>
  <c r="N358" i="3"/>
  <c r="O358" i="3"/>
  <c r="N359" i="3"/>
  <c r="O359" i="3"/>
  <c r="N360" i="3"/>
  <c r="O360" i="3"/>
  <c r="N361" i="3"/>
  <c r="O361" i="3"/>
  <c r="N362" i="3"/>
  <c r="O362" i="3"/>
  <c r="N363" i="3"/>
  <c r="O363" i="3"/>
  <c r="N364" i="3"/>
  <c r="O364" i="3"/>
  <c r="N365" i="3"/>
  <c r="O365" i="3"/>
  <c r="N366" i="3"/>
  <c r="O366" i="3"/>
  <c r="N367" i="3"/>
  <c r="O367" i="3"/>
  <c r="N368" i="3"/>
  <c r="O368" i="3"/>
  <c r="N369" i="3"/>
  <c r="O369" i="3"/>
  <c r="N370" i="3"/>
  <c r="O370" i="3"/>
  <c r="N371" i="3"/>
  <c r="O371" i="3"/>
  <c r="N372" i="3"/>
  <c r="O372" i="3"/>
  <c r="N373" i="3"/>
  <c r="O373" i="3"/>
  <c r="N374" i="3"/>
  <c r="O374" i="3"/>
  <c r="N375" i="3"/>
  <c r="O375" i="3"/>
  <c r="N376" i="3"/>
  <c r="O376" i="3"/>
  <c r="N377" i="3"/>
  <c r="O377" i="3"/>
  <c r="N378" i="3"/>
  <c r="O378" i="3"/>
  <c r="N379" i="3"/>
  <c r="O379" i="3"/>
  <c r="N380" i="3"/>
  <c r="O380" i="3"/>
  <c r="N381" i="3"/>
  <c r="O381" i="3"/>
  <c r="N382" i="3"/>
  <c r="O382" i="3"/>
  <c r="N383" i="3"/>
  <c r="O383" i="3"/>
  <c r="N384" i="3"/>
  <c r="O384" i="3"/>
  <c r="N385" i="3"/>
  <c r="O385" i="3"/>
  <c r="N386" i="3"/>
  <c r="O386" i="3"/>
  <c r="N387" i="3"/>
  <c r="O387" i="3"/>
  <c r="N388" i="3"/>
  <c r="O388" i="3"/>
  <c r="N389" i="3"/>
  <c r="O389" i="3"/>
  <c r="N390" i="3"/>
  <c r="O390" i="3"/>
  <c r="N391" i="3"/>
  <c r="O391" i="3"/>
  <c r="N392" i="3"/>
  <c r="O392" i="3"/>
  <c r="N393" i="3"/>
  <c r="O393" i="3"/>
  <c r="N394" i="3"/>
  <c r="O394" i="3"/>
  <c r="N395" i="3"/>
  <c r="O395" i="3"/>
  <c r="N396" i="3"/>
  <c r="O396" i="3"/>
  <c r="N397" i="3"/>
  <c r="O397" i="3"/>
  <c r="N398" i="3"/>
  <c r="O398" i="3"/>
  <c r="N399" i="3"/>
  <c r="O399" i="3"/>
  <c r="N400" i="3"/>
  <c r="O400" i="3"/>
  <c r="N401" i="3"/>
  <c r="O401" i="3"/>
  <c r="N402" i="3"/>
  <c r="O402" i="3"/>
  <c r="N403" i="3"/>
  <c r="O403" i="3"/>
  <c r="N404" i="3"/>
  <c r="O404" i="3"/>
  <c r="N405" i="3"/>
  <c r="O405" i="3"/>
  <c r="N406" i="3"/>
  <c r="O406" i="3"/>
  <c r="N407" i="3"/>
  <c r="O407" i="3"/>
  <c r="N408" i="3"/>
  <c r="O408" i="3"/>
  <c r="N409" i="3"/>
  <c r="O409" i="3"/>
  <c r="N410" i="3"/>
  <c r="O410" i="3"/>
  <c r="N411" i="3"/>
  <c r="O411" i="3"/>
  <c r="N412" i="3"/>
  <c r="O412" i="3"/>
  <c r="N413" i="3"/>
  <c r="O413" i="3"/>
  <c r="N414" i="3"/>
  <c r="O414" i="3"/>
  <c r="N415" i="3"/>
  <c r="O415" i="3"/>
  <c r="N416" i="3"/>
  <c r="O416" i="3"/>
  <c r="N417" i="3"/>
  <c r="O417" i="3"/>
  <c r="N418" i="3"/>
  <c r="O418" i="3"/>
  <c r="N419" i="3"/>
  <c r="O419" i="3"/>
  <c r="N420" i="3"/>
  <c r="O420" i="3"/>
  <c r="N421" i="3"/>
  <c r="O421" i="3"/>
  <c r="N422" i="3"/>
  <c r="O422" i="3"/>
  <c r="N423" i="3"/>
  <c r="O423" i="3"/>
  <c r="N424" i="3"/>
  <c r="O424" i="3"/>
  <c r="N425" i="3"/>
  <c r="O425" i="3"/>
  <c r="N426" i="3"/>
  <c r="O426" i="3"/>
  <c r="N427" i="3"/>
  <c r="O427" i="3"/>
  <c r="N428" i="3"/>
  <c r="O428" i="3"/>
  <c r="N429" i="3"/>
  <c r="O429" i="3"/>
  <c r="N430" i="3"/>
  <c r="O430" i="3"/>
  <c r="N431" i="3"/>
  <c r="O431" i="3"/>
  <c r="N432" i="3"/>
  <c r="O432" i="3"/>
  <c r="N433" i="3"/>
  <c r="O433" i="3"/>
  <c r="N434" i="3"/>
  <c r="O434" i="3"/>
  <c r="N435" i="3"/>
  <c r="O435" i="3"/>
  <c r="N436" i="3"/>
  <c r="O436" i="3"/>
  <c r="N437" i="3"/>
  <c r="O437" i="3"/>
  <c r="N438" i="3"/>
  <c r="O438" i="3"/>
  <c r="N439" i="3"/>
  <c r="O439" i="3"/>
  <c r="N440" i="3"/>
  <c r="O440" i="3"/>
  <c r="N441" i="3"/>
  <c r="O441" i="3"/>
  <c r="N442" i="3"/>
  <c r="O442" i="3"/>
  <c r="N443" i="3"/>
  <c r="O443" i="3"/>
  <c r="N444" i="3"/>
  <c r="O444" i="3"/>
  <c r="N445" i="3"/>
  <c r="O445" i="3"/>
  <c r="N446" i="3"/>
  <c r="O446" i="3"/>
  <c r="N447" i="3"/>
  <c r="O447" i="3"/>
  <c r="N448" i="3"/>
  <c r="O448" i="3"/>
  <c r="N449" i="3"/>
  <c r="O449" i="3"/>
  <c r="N450" i="3"/>
  <c r="O450" i="3"/>
  <c r="N451" i="3"/>
  <c r="O451" i="3"/>
  <c r="N452" i="3"/>
  <c r="O452" i="3"/>
  <c r="N453" i="3"/>
  <c r="O453" i="3"/>
  <c r="N454" i="3"/>
  <c r="O454" i="3"/>
  <c r="N455" i="3"/>
  <c r="O455" i="3"/>
  <c r="N456" i="3"/>
  <c r="O456" i="3"/>
  <c r="N457" i="3"/>
  <c r="O457" i="3"/>
  <c r="N458" i="3"/>
  <c r="O458" i="3"/>
  <c r="N459" i="3"/>
  <c r="O459" i="3"/>
  <c r="N460" i="3"/>
  <c r="O460" i="3"/>
  <c r="N461" i="3"/>
  <c r="O461" i="3"/>
  <c r="N462" i="3"/>
  <c r="O462" i="3"/>
  <c r="N463" i="3"/>
  <c r="O463" i="3"/>
  <c r="N464" i="3"/>
  <c r="O464" i="3"/>
  <c r="N465" i="3"/>
  <c r="O465" i="3"/>
  <c r="N466" i="3"/>
  <c r="O466" i="3"/>
  <c r="N467" i="3"/>
  <c r="O467" i="3"/>
  <c r="N468" i="3"/>
  <c r="O468" i="3"/>
  <c r="N469" i="3"/>
  <c r="O469" i="3"/>
  <c r="N470" i="3"/>
  <c r="O470" i="3"/>
  <c r="N471" i="3"/>
  <c r="O471" i="3"/>
  <c r="N472" i="3"/>
  <c r="O472" i="3"/>
  <c r="N473" i="3"/>
  <c r="O473" i="3"/>
  <c r="N474" i="3"/>
  <c r="O474" i="3"/>
  <c r="N475" i="3"/>
  <c r="O475" i="3"/>
  <c r="N476" i="3"/>
  <c r="O476" i="3"/>
  <c r="N477" i="3"/>
  <c r="O477" i="3"/>
  <c r="N478" i="3"/>
  <c r="O478" i="3"/>
  <c r="N479" i="3"/>
  <c r="O479" i="3"/>
  <c r="N480" i="3"/>
  <c r="O480" i="3"/>
  <c r="N481" i="3"/>
  <c r="O481" i="3"/>
  <c r="N482" i="3"/>
  <c r="O482" i="3"/>
  <c r="N483" i="3"/>
  <c r="O483" i="3"/>
  <c r="N484" i="3"/>
  <c r="O484" i="3"/>
  <c r="N485" i="3"/>
  <c r="O485" i="3"/>
  <c r="N486" i="3"/>
  <c r="O486" i="3"/>
  <c r="N487" i="3"/>
  <c r="O487" i="3"/>
  <c r="N488" i="3"/>
  <c r="O488" i="3"/>
  <c r="N489" i="3"/>
  <c r="O489" i="3"/>
  <c r="N490" i="3"/>
  <c r="O490" i="3"/>
  <c r="N491" i="3"/>
  <c r="O491" i="3"/>
  <c r="N492" i="3"/>
  <c r="O492" i="3"/>
  <c r="N493" i="3"/>
  <c r="O493" i="3"/>
  <c r="N494" i="3"/>
  <c r="O494" i="3"/>
  <c r="N495" i="3"/>
  <c r="O495" i="3"/>
  <c r="N496" i="3"/>
  <c r="O496" i="3"/>
  <c r="N497" i="3"/>
  <c r="O497" i="3"/>
  <c r="N498" i="3"/>
  <c r="O498" i="3"/>
  <c r="N499" i="3"/>
  <c r="O499" i="3"/>
  <c r="N500" i="3"/>
  <c r="O500" i="3"/>
  <c r="N501" i="3"/>
  <c r="O501" i="3"/>
  <c r="N502" i="3"/>
  <c r="O502" i="3"/>
  <c r="N503" i="3"/>
  <c r="O503" i="3"/>
  <c r="N504" i="3"/>
  <c r="O504" i="3"/>
  <c r="N505" i="3"/>
  <c r="O505" i="3"/>
  <c r="N506" i="3"/>
  <c r="O506" i="3"/>
  <c r="N507" i="3"/>
  <c r="O507" i="3"/>
  <c r="N508" i="3"/>
  <c r="O508" i="3"/>
  <c r="N509" i="3"/>
  <c r="O509" i="3"/>
  <c r="N510" i="3"/>
  <c r="O510" i="3"/>
  <c r="N511" i="3"/>
  <c r="O511" i="3"/>
  <c r="N512" i="3"/>
  <c r="O512" i="3"/>
  <c r="N513" i="3"/>
  <c r="O513" i="3"/>
  <c r="N514" i="3"/>
  <c r="O514" i="3"/>
  <c r="N515" i="3"/>
  <c r="O515" i="3"/>
  <c r="N516" i="3"/>
  <c r="O516" i="3"/>
  <c r="N517" i="3"/>
  <c r="O517" i="3"/>
  <c r="N518" i="3"/>
  <c r="O518" i="3"/>
  <c r="N519" i="3"/>
  <c r="O519" i="3"/>
  <c r="N520" i="3"/>
  <c r="O520" i="3"/>
  <c r="N521" i="3"/>
  <c r="O521" i="3"/>
  <c r="N522" i="3"/>
  <c r="O522" i="3"/>
  <c r="N523" i="3"/>
  <c r="O523" i="3"/>
  <c r="N524" i="3"/>
  <c r="O524" i="3"/>
  <c r="N525" i="3"/>
  <c r="O525" i="3"/>
  <c r="N526" i="3"/>
  <c r="O526" i="3"/>
  <c r="N527" i="3"/>
  <c r="O527" i="3"/>
  <c r="N528" i="3"/>
  <c r="O528" i="3"/>
  <c r="N529" i="3"/>
  <c r="O529" i="3"/>
  <c r="N530" i="3"/>
  <c r="O530" i="3"/>
  <c r="N531" i="3"/>
  <c r="O531" i="3"/>
  <c r="N532" i="3"/>
  <c r="O532" i="3"/>
  <c r="N533" i="3"/>
  <c r="O533" i="3"/>
  <c r="N534" i="3"/>
  <c r="O534" i="3"/>
  <c r="N535" i="3"/>
  <c r="O535" i="3"/>
  <c r="N536" i="3"/>
  <c r="O536" i="3"/>
  <c r="N537" i="3"/>
  <c r="O537" i="3"/>
  <c r="N538" i="3"/>
  <c r="O538" i="3"/>
  <c r="N539" i="3"/>
  <c r="O539" i="3"/>
  <c r="N540" i="3"/>
  <c r="O540" i="3"/>
  <c r="N541" i="3"/>
  <c r="O541" i="3"/>
  <c r="N542" i="3"/>
  <c r="O542" i="3"/>
  <c r="N543" i="3"/>
  <c r="O543" i="3"/>
  <c r="N544" i="3"/>
  <c r="O544" i="3"/>
  <c r="N545" i="3"/>
  <c r="O545" i="3"/>
  <c r="N546" i="3"/>
  <c r="O546" i="3"/>
  <c r="N547" i="3"/>
  <c r="O547" i="3"/>
  <c r="N548" i="3"/>
  <c r="O548" i="3"/>
  <c r="N549" i="3"/>
  <c r="O549" i="3"/>
  <c r="N550" i="3"/>
  <c r="O550" i="3"/>
  <c r="N551" i="3"/>
  <c r="O551" i="3"/>
  <c r="N552" i="3"/>
  <c r="O552" i="3"/>
  <c r="N553" i="3"/>
  <c r="O553" i="3"/>
  <c r="N554" i="3"/>
  <c r="O554" i="3"/>
  <c r="N555" i="3"/>
  <c r="O555" i="3"/>
  <c r="N556" i="3"/>
  <c r="O556" i="3"/>
  <c r="N557" i="3"/>
  <c r="O557" i="3"/>
  <c r="N558" i="3"/>
  <c r="O558" i="3"/>
  <c r="N559" i="3"/>
  <c r="O559" i="3"/>
  <c r="N560" i="3"/>
  <c r="O560" i="3"/>
  <c r="N561" i="3"/>
  <c r="O561" i="3"/>
  <c r="N562" i="3"/>
  <c r="O562" i="3"/>
  <c r="N563" i="3"/>
  <c r="O563" i="3"/>
  <c r="N564" i="3"/>
  <c r="O564" i="3"/>
  <c r="N565" i="3"/>
  <c r="O565" i="3"/>
  <c r="N566" i="3"/>
  <c r="O566" i="3"/>
  <c r="N567" i="3"/>
  <c r="O567" i="3"/>
  <c r="N568" i="3"/>
  <c r="O568" i="3"/>
  <c r="N569" i="3"/>
  <c r="O569" i="3"/>
  <c r="O2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2" i="3"/>
  <c r="I17" i="4" l="1"/>
  <c r="OH3" i="2"/>
  <c r="OH4" i="2"/>
  <c r="OH5" i="2"/>
  <c r="OH6" i="2"/>
  <c r="OH7" i="2"/>
  <c r="OH8" i="2"/>
  <c r="OH9" i="2"/>
  <c r="OH10" i="2"/>
  <c r="NV3" i="2" l="1"/>
  <c r="NW3" i="2"/>
  <c r="NX3" i="2"/>
  <c r="NY3" i="2"/>
  <c r="NZ3" i="2"/>
  <c r="OA3" i="2"/>
  <c r="OB3" i="2"/>
  <c r="OC3" i="2"/>
  <c r="OD3" i="2"/>
  <c r="OE3" i="2"/>
  <c r="OF3" i="2"/>
  <c r="NV4" i="2"/>
  <c r="NW4" i="2"/>
  <c r="NX4" i="2"/>
  <c r="NY4" i="2"/>
  <c r="NZ4" i="2"/>
  <c r="OA4" i="2"/>
  <c r="OB4" i="2"/>
  <c r="OC4" i="2"/>
  <c r="OD4" i="2"/>
  <c r="OE4" i="2"/>
  <c r="OF4" i="2"/>
  <c r="NV5" i="2"/>
  <c r="NW5" i="2"/>
  <c r="NX5" i="2"/>
  <c r="NY5" i="2"/>
  <c r="NZ5" i="2"/>
  <c r="OA5" i="2"/>
  <c r="OB5" i="2"/>
  <c r="OC5" i="2"/>
  <c r="OD5" i="2"/>
  <c r="OE5" i="2"/>
  <c r="OF5" i="2"/>
  <c r="NV6" i="2"/>
  <c r="NW6" i="2"/>
  <c r="NX6" i="2"/>
  <c r="NY6" i="2"/>
  <c r="NZ6" i="2"/>
  <c r="OA6" i="2"/>
  <c r="OB6" i="2"/>
  <c r="OC6" i="2"/>
  <c r="OD6" i="2"/>
  <c r="OE6" i="2"/>
  <c r="OF6" i="2"/>
  <c r="NV7" i="2"/>
  <c r="NW7" i="2"/>
  <c r="NX7" i="2"/>
  <c r="NY7" i="2"/>
  <c r="NZ7" i="2"/>
  <c r="OA7" i="2"/>
  <c r="OB7" i="2"/>
  <c r="OC7" i="2"/>
  <c r="OD7" i="2"/>
  <c r="OE7" i="2"/>
  <c r="OF7" i="2"/>
  <c r="NV8" i="2"/>
  <c r="NW8" i="2"/>
  <c r="NX8" i="2"/>
  <c r="NY8" i="2"/>
  <c r="NZ8" i="2"/>
  <c r="OA8" i="2"/>
  <c r="OB8" i="2"/>
  <c r="OC8" i="2"/>
  <c r="OD8" i="2"/>
  <c r="OE8" i="2"/>
  <c r="OF8" i="2"/>
  <c r="NV9" i="2"/>
  <c r="NW9" i="2"/>
  <c r="NX9" i="2"/>
  <c r="NY9" i="2"/>
  <c r="NZ9" i="2"/>
  <c r="OA9" i="2"/>
  <c r="OB9" i="2"/>
  <c r="OC9" i="2"/>
  <c r="OD9" i="2"/>
  <c r="OE9" i="2"/>
  <c r="OF9" i="2"/>
  <c r="NV10" i="2"/>
  <c r="NW10" i="2"/>
  <c r="NX10" i="2"/>
  <c r="NY10" i="2"/>
  <c r="NZ10" i="2"/>
  <c r="OA10" i="2"/>
  <c r="OB10" i="2"/>
  <c r="OC10" i="2"/>
  <c r="OD10" i="2"/>
  <c r="OE10" i="2"/>
  <c r="OF10" i="2"/>
  <c r="NU4" i="2"/>
  <c r="NU5" i="2"/>
  <c r="NU6" i="2"/>
  <c r="NU7" i="2"/>
  <c r="NU8" i="2"/>
  <c r="NU9" i="2"/>
  <c r="NU10" i="2"/>
  <c r="NU3" i="2"/>
  <c r="NS4" i="2"/>
  <c r="NS5" i="2"/>
  <c r="NS6" i="2"/>
  <c r="NS7" i="2"/>
  <c r="NS8" i="2"/>
  <c r="NS9" i="2"/>
  <c r="NS10" i="2"/>
  <c r="NS3" i="2"/>
  <c r="NG3" i="2"/>
  <c r="NH3" i="2"/>
  <c r="NI3" i="2"/>
  <c r="NJ3" i="2"/>
  <c r="NK3" i="2"/>
  <c r="NL3" i="2"/>
  <c r="NM3" i="2"/>
  <c r="NN3" i="2"/>
  <c r="NO3" i="2"/>
  <c r="NP3" i="2"/>
  <c r="NQ3" i="2"/>
  <c r="NG4" i="2"/>
  <c r="NH4" i="2"/>
  <c r="NI4" i="2"/>
  <c r="NJ4" i="2"/>
  <c r="NK4" i="2"/>
  <c r="NL4" i="2"/>
  <c r="NM4" i="2"/>
  <c r="NN4" i="2"/>
  <c r="NO4" i="2"/>
  <c r="NP4" i="2"/>
  <c r="NQ4" i="2"/>
  <c r="NG5" i="2"/>
  <c r="NH5" i="2"/>
  <c r="NI5" i="2"/>
  <c r="NJ5" i="2"/>
  <c r="NK5" i="2"/>
  <c r="NL5" i="2"/>
  <c r="NM5" i="2"/>
  <c r="NN5" i="2"/>
  <c r="NO5" i="2"/>
  <c r="NP5" i="2"/>
  <c r="NQ5" i="2"/>
  <c r="NG6" i="2"/>
  <c r="NH6" i="2"/>
  <c r="NI6" i="2"/>
  <c r="NJ6" i="2"/>
  <c r="NK6" i="2"/>
  <c r="NL6" i="2"/>
  <c r="NM6" i="2"/>
  <c r="NN6" i="2"/>
  <c r="NO6" i="2"/>
  <c r="NP6" i="2"/>
  <c r="NQ6" i="2"/>
  <c r="NG7" i="2"/>
  <c r="NH7" i="2"/>
  <c r="NI7" i="2"/>
  <c r="NJ7" i="2"/>
  <c r="NK7" i="2"/>
  <c r="NL7" i="2"/>
  <c r="NM7" i="2"/>
  <c r="NN7" i="2"/>
  <c r="NO7" i="2"/>
  <c r="NP7" i="2"/>
  <c r="NQ7" i="2"/>
  <c r="NG8" i="2"/>
  <c r="NH8" i="2"/>
  <c r="NI8" i="2"/>
  <c r="NJ8" i="2"/>
  <c r="NK8" i="2"/>
  <c r="NL8" i="2"/>
  <c r="NM8" i="2"/>
  <c r="NN8" i="2"/>
  <c r="NO8" i="2"/>
  <c r="NP8" i="2"/>
  <c r="NQ8" i="2"/>
  <c r="NG9" i="2"/>
  <c r="NH9" i="2"/>
  <c r="NI9" i="2"/>
  <c r="NJ9" i="2"/>
  <c r="NK9" i="2"/>
  <c r="NL9" i="2"/>
  <c r="NM9" i="2"/>
  <c r="NN9" i="2"/>
  <c r="NO9" i="2"/>
  <c r="NP9" i="2"/>
  <c r="NQ9" i="2"/>
  <c r="NG10" i="2"/>
  <c r="NH10" i="2"/>
  <c r="NI10" i="2"/>
  <c r="NJ10" i="2"/>
  <c r="NK10" i="2"/>
  <c r="NL10" i="2"/>
  <c r="NM10" i="2"/>
  <c r="NN10" i="2"/>
  <c r="NO10" i="2"/>
  <c r="NP10" i="2"/>
  <c r="NQ10" i="2"/>
  <c r="NF4" i="2"/>
  <c r="NF5" i="2"/>
  <c r="NF6" i="2"/>
  <c r="NF7" i="2"/>
  <c r="NF8" i="2"/>
  <c r="NF9" i="2"/>
  <c r="NF10" i="2"/>
  <c r="NF3" i="2"/>
  <c r="NE4" i="2"/>
  <c r="NE5" i="2"/>
  <c r="NE6" i="2"/>
  <c r="NE7" i="2"/>
  <c r="NE8" i="2"/>
  <c r="NE9" i="2"/>
  <c r="NE10" i="2"/>
  <c r="NE3" i="2"/>
  <c r="C1" i="2" l="1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Y1" i="2"/>
  <c r="Z1" i="2"/>
  <c r="AA1" i="2"/>
  <c r="AB1" i="2"/>
  <c r="AC1" i="2"/>
  <c r="AD1" i="2"/>
  <c r="AE1" i="2"/>
  <c r="AF1" i="2"/>
  <c r="AG1" i="2"/>
  <c r="AH1" i="2"/>
  <c r="AI1" i="2"/>
  <c r="AJ1" i="2"/>
  <c r="AK1" i="2"/>
  <c r="AL1" i="2"/>
  <c r="AM1" i="2"/>
  <c r="AN1" i="2"/>
  <c r="AO1" i="2"/>
  <c r="AP1" i="2"/>
  <c r="AQ1" i="2"/>
  <c r="AR1" i="2"/>
  <c r="AS1" i="2"/>
  <c r="AT1" i="2"/>
  <c r="AU1" i="2"/>
  <c r="AV1" i="2"/>
  <c r="AW1" i="2"/>
  <c r="AX1" i="2"/>
  <c r="AY1" i="2"/>
  <c r="AZ1" i="2"/>
  <c r="BA1" i="2"/>
  <c r="BB1" i="2"/>
  <c r="BC1" i="2"/>
  <c r="BD1" i="2"/>
  <c r="BE1" i="2"/>
  <c r="BF1" i="2"/>
  <c r="BG1" i="2"/>
  <c r="BH1" i="2"/>
  <c r="BI1" i="2"/>
  <c r="BJ1" i="2"/>
  <c r="BK1" i="2"/>
  <c r="BL1" i="2"/>
  <c r="BM1" i="2"/>
  <c r="BN1" i="2"/>
  <c r="BO1" i="2"/>
  <c r="BP1" i="2"/>
  <c r="BQ1" i="2"/>
  <c r="BR1" i="2"/>
  <c r="BS1" i="2"/>
  <c r="BT1" i="2"/>
  <c r="BU1" i="2"/>
  <c r="BV1" i="2"/>
  <c r="BW1" i="2"/>
  <c r="BX1" i="2"/>
  <c r="BY1" i="2"/>
  <c r="BZ1" i="2"/>
  <c r="CA1" i="2"/>
  <c r="CB1" i="2"/>
  <c r="CC1" i="2"/>
  <c r="CD1" i="2"/>
  <c r="CE1" i="2"/>
  <c r="CF1" i="2"/>
  <c r="CG1" i="2"/>
  <c r="CH1" i="2"/>
  <c r="CI1" i="2"/>
  <c r="CJ1" i="2"/>
  <c r="CK1" i="2"/>
  <c r="CL1" i="2"/>
  <c r="CM1" i="2"/>
  <c r="CN1" i="2"/>
  <c r="CO1" i="2"/>
  <c r="CP1" i="2"/>
  <c r="CQ1" i="2"/>
  <c r="CR1" i="2"/>
  <c r="CS1" i="2"/>
  <c r="CT1" i="2"/>
  <c r="CU1" i="2"/>
  <c r="CV1" i="2"/>
  <c r="CW1" i="2"/>
  <c r="CX1" i="2"/>
  <c r="CY1" i="2"/>
  <c r="CZ1" i="2"/>
  <c r="DA1" i="2"/>
  <c r="DB1" i="2"/>
  <c r="DC1" i="2"/>
  <c r="DD1" i="2"/>
  <c r="DE1" i="2"/>
  <c r="DF1" i="2"/>
  <c r="DG1" i="2"/>
  <c r="DH1" i="2"/>
  <c r="DI1" i="2"/>
  <c r="DJ1" i="2"/>
  <c r="DK1" i="2"/>
  <c r="DL1" i="2"/>
  <c r="DM1" i="2"/>
  <c r="DN1" i="2"/>
  <c r="DO1" i="2"/>
  <c r="DP1" i="2"/>
  <c r="DQ1" i="2"/>
  <c r="DR1" i="2"/>
  <c r="DS1" i="2"/>
  <c r="DT1" i="2"/>
  <c r="DU1" i="2"/>
  <c r="DV1" i="2"/>
  <c r="DW1" i="2"/>
  <c r="DX1" i="2"/>
  <c r="DY1" i="2"/>
  <c r="DZ1" i="2"/>
  <c r="EA1" i="2"/>
  <c r="EB1" i="2"/>
  <c r="EC1" i="2"/>
  <c r="ED1" i="2"/>
  <c r="EE1" i="2"/>
  <c r="EF1" i="2"/>
  <c r="EG1" i="2"/>
  <c r="EH1" i="2"/>
  <c r="EI1" i="2"/>
  <c r="EJ1" i="2"/>
  <c r="EK1" i="2"/>
  <c r="EL1" i="2"/>
  <c r="EM1" i="2"/>
  <c r="EN1" i="2"/>
  <c r="EO1" i="2"/>
  <c r="EP1" i="2"/>
  <c r="EQ1" i="2"/>
  <c r="ER1" i="2"/>
  <c r="ES1" i="2"/>
  <c r="ET1" i="2"/>
  <c r="EU1" i="2"/>
  <c r="EV1" i="2"/>
  <c r="EW1" i="2"/>
  <c r="EX1" i="2"/>
  <c r="EY1" i="2"/>
  <c r="EZ1" i="2"/>
  <c r="FA1" i="2"/>
  <c r="FB1" i="2"/>
  <c r="FC1" i="2"/>
  <c r="FD1" i="2"/>
  <c r="FE1" i="2"/>
  <c r="FF1" i="2"/>
  <c r="FG1" i="2"/>
  <c r="FH1" i="2"/>
  <c r="FI1" i="2"/>
  <c r="FJ1" i="2"/>
  <c r="FK1" i="2"/>
  <c r="FL1" i="2"/>
  <c r="FM1" i="2"/>
  <c r="FN1" i="2"/>
  <c r="FO1" i="2"/>
  <c r="FP1" i="2"/>
  <c r="FQ1" i="2"/>
  <c r="FR1" i="2"/>
  <c r="FS1" i="2"/>
  <c r="FT1" i="2"/>
  <c r="FU1" i="2"/>
  <c r="FV1" i="2"/>
  <c r="FW1" i="2"/>
  <c r="FX1" i="2"/>
  <c r="FY1" i="2"/>
  <c r="FZ1" i="2"/>
  <c r="GA1" i="2"/>
  <c r="GB1" i="2"/>
  <c r="GC1" i="2"/>
  <c r="GD1" i="2"/>
  <c r="GE1" i="2"/>
  <c r="GF1" i="2"/>
  <c r="GG1" i="2"/>
  <c r="GH1" i="2"/>
  <c r="GI1" i="2"/>
  <c r="GJ1" i="2"/>
  <c r="GK1" i="2"/>
  <c r="GL1" i="2"/>
  <c r="GM1" i="2"/>
  <c r="GN1" i="2"/>
  <c r="GO1" i="2"/>
  <c r="GP1" i="2"/>
  <c r="GQ1" i="2"/>
  <c r="GR1" i="2"/>
  <c r="GS1" i="2"/>
  <c r="GT1" i="2"/>
  <c r="GU1" i="2"/>
  <c r="GV1" i="2"/>
  <c r="GW1" i="2"/>
  <c r="GX1" i="2"/>
  <c r="GY1" i="2"/>
  <c r="GZ1" i="2"/>
  <c r="HA1" i="2"/>
  <c r="HB1" i="2"/>
  <c r="HC1" i="2"/>
  <c r="HD1" i="2"/>
  <c r="HE1" i="2"/>
  <c r="HF1" i="2"/>
  <c r="HG1" i="2"/>
  <c r="HH1" i="2"/>
  <c r="HI1" i="2"/>
  <c r="HJ1" i="2"/>
  <c r="HK1" i="2"/>
  <c r="HL1" i="2"/>
  <c r="HM1" i="2"/>
  <c r="HN1" i="2"/>
  <c r="HO1" i="2"/>
  <c r="HP1" i="2"/>
  <c r="HQ1" i="2"/>
  <c r="HR1" i="2"/>
  <c r="HS1" i="2"/>
  <c r="HT1" i="2"/>
  <c r="HU1" i="2"/>
  <c r="HV1" i="2"/>
  <c r="HW1" i="2"/>
  <c r="HX1" i="2"/>
  <c r="HY1" i="2"/>
  <c r="HZ1" i="2"/>
  <c r="IA1" i="2"/>
  <c r="IB1" i="2"/>
  <c r="IC1" i="2"/>
  <c r="ID1" i="2"/>
  <c r="IE1" i="2"/>
  <c r="IF1" i="2"/>
  <c r="IG1" i="2"/>
  <c r="IH1" i="2"/>
  <c r="II1" i="2"/>
  <c r="IJ1" i="2"/>
  <c r="IK1" i="2"/>
  <c r="IL1" i="2"/>
  <c r="IM1" i="2"/>
  <c r="IN1" i="2"/>
  <c r="IO1" i="2"/>
  <c r="IP1" i="2"/>
  <c r="IQ1" i="2"/>
  <c r="IR1" i="2"/>
  <c r="IS1" i="2"/>
  <c r="IT1" i="2"/>
  <c r="IU1" i="2"/>
  <c r="IV1" i="2"/>
  <c r="IW1" i="2"/>
  <c r="IX1" i="2"/>
  <c r="IY1" i="2"/>
  <c r="IZ1" i="2"/>
  <c r="JA1" i="2"/>
  <c r="JB1" i="2"/>
  <c r="JC1" i="2"/>
  <c r="JD1" i="2"/>
  <c r="JE1" i="2"/>
  <c r="JF1" i="2"/>
  <c r="JG1" i="2"/>
  <c r="JH1" i="2"/>
  <c r="JI1" i="2"/>
  <c r="JJ1" i="2"/>
  <c r="JK1" i="2"/>
  <c r="JL1" i="2"/>
  <c r="JM1" i="2"/>
  <c r="JN1" i="2"/>
  <c r="JO1" i="2"/>
  <c r="JP1" i="2"/>
  <c r="JQ1" i="2"/>
  <c r="JR1" i="2"/>
  <c r="JS1" i="2"/>
  <c r="JT1" i="2"/>
  <c r="JU1" i="2"/>
  <c r="JV1" i="2"/>
  <c r="JW1" i="2"/>
  <c r="JX1" i="2"/>
  <c r="JY1" i="2"/>
  <c r="JZ1" i="2"/>
  <c r="KA1" i="2"/>
  <c r="KB1" i="2"/>
  <c r="KC1" i="2"/>
  <c r="KD1" i="2"/>
  <c r="KE1" i="2"/>
  <c r="KF1" i="2"/>
  <c r="KG1" i="2"/>
  <c r="KH1" i="2"/>
  <c r="KI1" i="2"/>
  <c r="KJ1" i="2"/>
  <c r="KK1" i="2"/>
  <c r="KL1" i="2"/>
  <c r="KM1" i="2"/>
  <c r="KN1" i="2"/>
  <c r="KO1" i="2"/>
  <c r="KP1" i="2"/>
  <c r="KQ1" i="2"/>
  <c r="KR1" i="2"/>
  <c r="KS1" i="2"/>
  <c r="KT1" i="2"/>
  <c r="KU1" i="2"/>
  <c r="KV1" i="2"/>
  <c r="KW1" i="2"/>
  <c r="KX1" i="2"/>
  <c r="KY1" i="2"/>
  <c r="KZ1" i="2"/>
  <c r="LA1" i="2"/>
  <c r="LB1" i="2"/>
  <c r="LC1" i="2"/>
  <c r="LD1" i="2"/>
  <c r="LE1" i="2"/>
  <c r="LF1" i="2"/>
  <c r="LG1" i="2"/>
  <c r="LH1" i="2"/>
  <c r="LI1" i="2"/>
  <c r="LJ1" i="2"/>
  <c r="LK1" i="2"/>
  <c r="LL1" i="2"/>
  <c r="LM1" i="2"/>
  <c r="LN1" i="2"/>
  <c r="LO1" i="2"/>
  <c r="LP1" i="2"/>
  <c r="LQ1" i="2"/>
  <c r="LR1" i="2"/>
  <c r="LS1" i="2"/>
  <c r="LT1" i="2"/>
  <c r="LU1" i="2"/>
  <c r="LV1" i="2"/>
  <c r="LW1" i="2"/>
  <c r="LX1" i="2"/>
  <c r="LY1" i="2"/>
  <c r="LZ1" i="2"/>
  <c r="MA1" i="2"/>
  <c r="MB1" i="2"/>
  <c r="MC1" i="2"/>
  <c r="MD1" i="2"/>
  <c r="ME1" i="2"/>
  <c r="MF1" i="2"/>
  <c r="MG1" i="2"/>
  <c r="MH1" i="2"/>
  <c r="MI1" i="2"/>
  <c r="MJ1" i="2"/>
  <c r="MK1" i="2"/>
  <c r="ML1" i="2"/>
  <c r="MM1" i="2"/>
  <c r="MN1" i="2"/>
  <c r="MO1" i="2"/>
  <c r="MP1" i="2"/>
  <c r="MQ1" i="2"/>
  <c r="MR1" i="2"/>
  <c r="MS1" i="2"/>
  <c r="MT1" i="2"/>
  <c r="MU1" i="2"/>
  <c r="MV1" i="2"/>
  <c r="MW1" i="2"/>
  <c r="MX1" i="2"/>
  <c r="MY1" i="2"/>
  <c r="MZ1" i="2"/>
  <c r="NA1" i="2"/>
  <c r="NB1" i="2"/>
  <c r="B1" i="2"/>
  <c r="H3" i="3" l="1"/>
  <c r="I3" i="3"/>
  <c r="J3" i="3"/>
  <c r="K3" i="3"/>
  <c r="L3" i="3"/>
  <c r="H4" i="3"/>
  <c r="I4" i="3"/>
  <c r="J4" i="3"/>
  <c r="K4" i="3"/>
  <c r="L4" i="3"/>
  <c r="H5" i="3"/>
  <c r="I5" i="3"/>
  <c r="J5" i="3"/>
  <c r="K5" i="3"/>
  <c r="L5" i="3"/>
  <c r="H6" i="3"/>
  <c r="I6" i="3"/>
  <c r="J6" i="3"/>
  <c r="K6" i="3"/>
  <c r="L6" i="3"/>
  <c r="H7" i="3"/>
  <c r="I7" i="3"/>
  <c r="J7" i="3"/>
  <c r="K7" i="3"/>
  <c r="L7" i="3"/>
  <c r="H8" i="3"/>
  <c r="I8" i="3"/>
  <c r="J8" i="3"/>
  <c r="K8" i="3"/>
  <c r="L8" i="3"/>
  <c r="H9" i="3"/>
  <c r="I9" i="3"/>
  <c r="J9" i="3"/>
  <c r="K9" i="3"/>
  <c r="L9" i="3"/>
  <c r="H10" i="3"/>
  <c r="I10" i="3"/>
  <c r="J10" i="3"/>
  <c r="K10" i="3"/>
  <c r="L10" i="3"/>
  <c r="H11" i="3"/>
  <c r="I11" i="3"/>
  <c r="J11" i="3"/>
  <c r="K11" i="3"/>
  <c r="L11" i="3"/>
  <c r="H12" i="3"/>
  <c r="I12" i="3"/>
  <c r="J12" i="3"/>
  <c r="K12" i="3"/>
  <c r="L12" i="3"/>
  <c r="H13" i="3"/>
  <c r="I13" i="3"/>
  <c r="J13" i="3"/>
  <c r="K13" i="3"/>
  <c r="L13" i="3"/>
  <c r="H14" i="3"/>
  <c r="I14" i="3"/>
  <c r="J14" i="3"/>
  <c r="K14" i="3"/>
  <c r="L14" i="3"/>
  <c r="H15" i="3"/>
  <c r="I15" i="3"/>
  <c r="J15" i="3"/>
  <c r="K15" i="3"/>
  <c r="L15" i="3"/>
  <c r="H16" i="3"/>
  <c r="I16" i="3"/>
  <c r="J16" i="3"/>
  <c r="K16" i="3"/>
  <c r="L16" i="3"/>
  <c r="H17" i="3"/>
  <c r="I17" i="3"/>
  <c r="J17" i="3"/>
  <c r="K17" i="3"/>
  <c r="L17" i="3"/>
  <c r="H18" i="3"/>
  <c r="I18" i="3"/>
  <c r="J18" i="3"/>
  <c r="K18" i="3"/>
  <c r="L18" i="3"/>
  <c r="H19" i="3"/>
  <c r="I19" i="3"/>
  <c r="J19" i="3"/>
  <c r="K19" i="3"/>
  <c r="L19" i="3"/>
  <c r="H20" i="3"/>
  <c r="I20" i="3"/>
  <c r="J20" i="3"/>
  <c r="K20" i="3"/>
  <c r="L20" i="3"/>
  <c r="H21" i="3"/>
  <c r="I21" i="3"/>
  <c r="J21" i="3"/>
  <c r="K21" i="3"/>
  <c r="L21" i="3"/>
  <c r="H22" i="3"/>
  <c r="I22" i="3"/>
  <c r="J22" i="3"/>
  <c r="K22" i="3"/>
  <c r="L22" i="3"/>
  <c r="H23" i="3"/>
  <c r="I23" i="3"/>
  <c r="J23" i="3"/>
  <c r="K23" i="3"/>
  <c r="L23" i="3"/>
  <c r="H24" i="3"/>
  <c r="I24" i="3"/>
  <c r="J24" i="3"/>
  <c r="K24" i="3"/>
  <c r="L24" i="3"/>
  <c r="H25" i="3"/>
  <c r="I25" i="3"/>
  <c r="J25" i="3"/>
  <c r="K25" i="3"/>
  <c r="L25" i="3"/>
  <c r="H26" i="3"/>
  <c r="I26" i="3"/>
  <c r="J26" i="3"/>
  <c r="K26" i="3"/>
  <c r="L26" i="3"/>
  <c r="H27" i="3"/>
  <c r="I27" i="3"/>
  <c r="J27" i="3"/>
  <c r="K27" i="3"/>
  <c r="L27" i="3"/>
  <c r="H28" i="3"/>
  <c r="I28" i="3"/>
  <c r="J28" i="3"/>
  <c r="K28" i="3"/>
  <c r="L28" i="3"/>
  <c r="H29" i="3"/>
  <c r="I29" i="3"/>
  <c r="J29" i="3"/>
  <c r="K29" i="3"/>
  <c r="L29" i="3"/>
  <c r="H30" i="3"/>
  <c r="I30" i="3"/>
  <c r="J30" i="3"/>
  <c r="K30" i="3"/>
  <c r="L30" i="3"/>
  <c r="H31" i="3"/>
  <c r="I31" i="3"/>
  <c r="J31" i="3"/>
  <c r="K31" i="3"/>
  <c r="L31" i="3"/>
  <c r="H32" i="3"/>
  <c r="I32" i="3"/>
  <c r="J32" i="3"/>
  <c r="K32" i="3"/>
  <c r="L32" i="3"/>
  <c r="H33" i="3"/>
  <c r="I33" i="3"/>
  <c r="J33" i="3"/>
  <c r="K33" i="3"/>
  <c r="L33" i="3"/>
  <c r="H34" i="3"/>
  <c r="I34" i="3"/>
  <c r="J34" i="3"/>
  <c r="K34" i="3"/>
  <c r="L34" i="3"/>
  <c r="H35" i="3"/>
  <c r="I35" i="3"/>
  <c r="J35" i="3"/>
  <c r="K35" i="3"/>
  <c r="L35" i="3"/>
  <c r="H36" i="3"/>
  <c r="I36" i="3"/>
  <c r="J36" i="3"/>
  <c r="K36" i="3"/>
  <c r="L36" i="3"/>
  <c r="H37" i="3"/>
  <c r="I37" i="3"/>
  <c r="J37" i="3"/>
  <c r="K37" i="3"/>
  <c r="L37" i="3"/>
  <c r="H38" i="3"/>
  <c r="I38" i="3"/>
  <c r="J38" i="3"/>
  <c r="K38" i="3"/>
  <c r="L38" i="3"/>
  <c r="H39" i="3"/>
  <c r="I39" i="3"/>
  <c r="J39" i="3"/>
  <c r="K39" i="3"/>
  <c r="L39" i="3"/>
  <c r="H40" i="3"/>
  <c r="I40" i="3"/>
  <c r="J40" i="3"/>
  <c r="K40" i="3"/>
  <c r="L40" i="3"/>
  <c r="H41" i="3"/>
  <c r="I41" i="3"/>
  <c r="J41" i="3"/>
  <c r="K41" i="3"/>
  <c r="L41" i="3"/>
  <c r="H42" i="3"/>
  <c r="I42" i="3"/>
  <c r="J42" i="3"/>
  <c r="K42" i="3"/>
  <c r="L42" i="3"/>
  <c r="H43" i="3"/>
  <c r="I43" i="3"/>
  <c r="J43" i="3"/>
  <c r="K43" i="3"/>
  <c r="L43" i="3"/>
  <c r="H44" i="3"/>
  <c r="I44" i="3"/>
  <c r="J44" i="3"/>
  <c r="K44" i="3"/>
  <c r="L44" i="3"/>
  <c r="H45" i="3"/>
  <c r="I45" i="3"/>
  <c r="J45" i="3"/>
  <c r="K45" i="3"/>
  <c r="L45" i="3"/>
  <c r="H46" i="3"/>
  <c r="I46" i="3"/>
  <c r="J46" i="3"/>
  <c r="K46" i="3"/>
  <c r="L46" i="3"/>
  <c r="H47" i="3"/>
  <c r="I47" i="3"/>
  <c r="J47" i="3"/>
  <c r="K47" i="3"/>
  <c r="L47" i="3"/>
  <c r="H48" i="3"/>
  <c r="I48" i="3"/>
  <c r="J48" i="3"/>
  <c r="K48" i="3"/>
  <c r="L48" i="3"/>
  <c r="H49" i="3"/>
  <c r="I49" i="3"/>
  <c r="J49" i="3"/>
  <c r="K49" i="3"/>
  <c r="L49" i="3"/>
  <c r="H50" i="3"/>
  <c r="I50" i="3"/>
  <c r="J50" i="3"/>
  <c r="K50" i="3"/>
  <c r="L50" i="3"/>
  <c r="H51" i="3"/>
  <c r="I51" i="3"/>
  <c r="J51" i="3"/>
  <c r="K51" i="3"/>
  <c r="L51" i="3"/>
  <c r="H52" i="3"/>
  <c r="I52" i="3"/>
  <c r="J52" i="3"/>
  <c r="K52" i="3"/>
  <c r="L52" i="3"/>
  <c r="H53" i="3"/>
  <c r="I53" i="3"/>
  <c r="J53" i="3"/>
  <c r="K53" i="3"/>
  <c r="L53" i="3"/>
  <c r="H54" i="3"/>
  <c r="I54" i="3"/>
  <c r="J54" i="3"/>
  <c r="K54" i="3"/>
  <c r="L54" i="3"/>
  <c r="H55" i="3"/>
  <c r="I55" i="3"/>
  <c r="J55" i="3"/>
  <c r="K55" i="3"/>
  <c r="L55" i="3"/>
  <c r="H56" i="3"/>
  <c r="I56" i="3"/>
  <c r="J56" i="3"/>
  <c r="K56" i="3"/>
  <c r="L56" i="3"/>
  <c r="H57" i="3"/>
  <c r="I57" i="3"/>
  <c r="J57" i="3"/>
  <c r="K57" i="3"/>
  <c r="L57" i="3"/>
  <c r="H58" i="3"/>
  <c r="I58" i="3"/>
  <c r="J58" i="3"/>
  <c r="K58" i="3"/>
  <c r="L58" i="3"/>
  <c r="H59" i="3"/>
  <c r="I59" i="3"/>
  <c r="J59" i="3"/>
  <c r="K59" i="3"/>
  <c r="L59" i="3"/>
  <c r="H60" i="3"/>
  <c r="I60" i="3"/>
  <c r="J60" i="3"/>
  <c r="K60" i="3"/>
  <c r="L60" i="3"/>
  <c r="H61" i="3"/>
  <c r="I61" i="3"/>
  <c r="J61" i="3"/>
  <c r="K61" i="3"/>
  <c r="L61" i="3"/>
  <c r="H62" i="3"/>
  <c r="I62" i="3"/>
  <c r="J62" i="3"/>
  <c r="K62" i="3"/>
  <c r="L62" i="3"/>
  <c r="H63" i="3"/>
  <c r="I63" i="3"/>
  <c r="J63" i="3"/>
  <c r="K63" i="3"/>
  <c r="L63" i="3"/>
  <c r="H64" i="3"/>
  <c r="I64" i="3"/>
  <c r="J64" i="3"/>
  <c r="K64" i="3"/>
  <c r="L64" i="3"/>
  <c r="H65" i="3"/>
  <c r="I65" i="3"/>
  <c r="J65" i="3"/>
  <c r="K65" i="3"/>
  <c r="L65" i="3"/>
  <c r="H66" i="3"/>
  <c r="I66" i="3"/>
  <c r="J66" i="3"/>
  <c r="K66" i="3"/>
  <c r="L66" i="3"/>
  <c r="H67" i="3"/>
  <c r="I67" i="3"/>
  <c r="J67" i="3"/>
  <c r="K67" i="3"/>
  <c r="L67" i="3"/>
  <c r="H68" i="3"/>
  <c r="I68" i="3"/>
  <c r="J68" i="3"/>
  <c r="K68" i="3"/>
  <c r="L68" i="3"/>
  <c r="H69" i="3"/>
  <c r="I69" i="3"/>
  <c r="J69" i="3"/>
  <c r="K69" i="3"/>
  <c r="L69" i="3"/>
  <c r="H70" i="3"/>
  <c r="I70" i="3"/>
  <c r="J70" i="3"/>
  <c r="K70" i="3"/>
  <c r="L70" i="3"/>
  <c r="H71" i="3"/>
  <c r="I71" i="3"/>
  <c r="J71" i="3"/>
  <c r="K71" i="3"/>
  <c r="L71" i="3"/>
  <c r="H72" i="3"/>
  <c r="I72" i="3"/>
  <c r="J72" i="3"/>
  <c r="K72" i="3"/>
  <c r="L72" i="3"/>
  <c r="H73" i="3"/>
  <c r="I73" i="3"/>
  <c r="J73" i="3"/>
  <c r="K73" i="3"/>
  <c r="L73" i="3"/>
  <c r="H74" i="3"/>
  <c r="I74" i="3"/>
  <c r="J74" i="3"/>
  <c r="K74" i="3"/>
  <c r="L74" i="3"/>
  <c r="H75" i="3"/>
  <c r="I75" i="3"/>
  <c r="J75" i="3"/>
  <c r="K75" i="3"/>
  <c r="L75" i="3"/>
  <c r="H76" i="3"/>
  <c r="I76" i="3"/>
  <c r="J76" i="3"/>
  <c r="K76" i="3"/>
  <c r="L76" i="3"/>
  <c r="H77" i="3"/>
  <c r="I77" i="3"/>
  <c r="J77" i="3"/>
  <c r="K77" i="3"/>
  <c r="L77" i="3"/>
  <c r="H78" i="3"/>
  <c r="I78" i="3"/>
  <c r="J78" i="3"/>
  <c r="K78" i="3"/>
  <c r="L78" i="3"/>
  <c r="H79" i="3"/>
  <c r="I79" i="3"/>
  <c r="J79" i="3"/>
  <c r="K79" i="3"/>
  <c r="L79" i="3"/>
  <c r="H80" i="3"/>
  <c r="I80" i="3"/>
  <c r="J80" i="3"/>
  <c r="K80" i="3"/>
  <c r="L80" i="3"/>
  <c r="H81" i="3"/>
  <c r="I81" i="3"/>
  <c r="J81" i="3"/>
  <c r="K81" i="3"/>
  <c r="L81" i="3"/>
  <c r="H82" i="3"/>
  <c r="I82" i="3"/>
  <c r="J82" i="3"/>
  <c r="K82" i="3"/>
  <c r="L82" i="3"/>
  <c r="H83" i="3"/>
  <c r="I83" i="3"/>
  <c r="J83" i="3"/>
  <c r="K83" i="3"/>
  <c r="L83" i="3"/>
  <c r="H84" i="3"/>
  <c r="I84" i="3"/>
  <c r="J84" i="3"/>
  <c r="K84" i="3"/>
  <c r="L84" i="3"/>
  <c r="H85" i="3"/>
  <c r="I85" i="3"/>
  <c r="J85" i="3"/>
  <c r="K85" i="3"/>
  <c r="L85" i="3"/>
  <c r="H86" i="3"/>
  <c r="I86" i="3"/>
  <c r="J86" i="3"/>
  <c r="K86" i="3"/>
  <c r="L86" i="3"/>
  <c r="H87" i="3"/>
  <c r="I87" i="3"/>
  <c r="J87" i="3"/>
  <c r="K87" i="3"/>
  <c r="L87" i="3"/>
  <c r="H88" i="3"/>
  <c r="I88" i="3"/>
  <c r="J88" i="3"/>
  <c r="K88" i="3"/>
  <c r="L88" i="3"/>
  <c r="H89" i="3"/>
  <c r="I89" i="3"/>
  <c r="J89" i="3"/>
  <c r="K89" i="3"/>
  <c r="L89" i="3"/>
  <c r="H90" i="3"/>
  <c r="I90" i="3"/>
  <c r="J90" i="3"/>
  <c r="K90" i="3"/>
  <c r="L90" i="3"/>
  <c r="H91" i="3"/>
  <c r="I91" i="3"/>
  <c r="J91" i="3"/>
  <c r="K91" i="3"/>
  <c r="L91" i="3"/>
  <c r="H92" i="3"/>
  <c r="I92" i="3"/>
  <c r="J92" i="3"/>
  <c r="K92" i="3"/>
  <c r="L92" i="3"/>
  <c r="H93" i="3"/>
  <c r="I93" i="3"/>
  <c r="J93" i="3"/>
  <c r="K93" i="3"/>
  <c r="L93" i="3"/>
  <c r="H94" i="3"/>
  <c r="I94" i="3"/>
  <c r="J94" i="3"/>
  <c r="K94" i="3"/>
  <c r="L94" i="3"/>
  <c r="H95" i="3"/>
  <c r="I95" i="3"/>
  <c r="J95" i="3"/>
  <c r="K95" i="3"/>
  <c r="L95" i="3"/>
  <c r="H96" i="3"/>
  <c r="I96" i="3"/>
  <c r="J96" i="3"/>
  <c r="K96" i="3"/>
  <c r="L96" i="3"/>
  <c r="H97" i="3"/>
  <c r="I97" i="3"/>
  <c r="J97" i="3"/>
  <c r="K97" i="3"/>
  <c r="L97" i="3"/>
  <c r="H98" i="3"/>
  <c r="I98" i="3"/>
  <c r="J98" i="3"/>
  <c r="K98" i="3"/>
  <c r="L98" i="3"/>
  <c r="H99" i="3"/>
  <c r="I99" i="3"/>
  <c r="J99" i="3"/>
  <c r="K99" i="3"/>
  <c r="L99" i="3"/>
  <c r="H100" i="3"/>
  <c r="I100" i="3"/>
  <c r="J100" i="3"/>
  <c r="K100" i="3"/>
  <c r="L100" i="3"/>
  <c r="H101" i="3"/>
  <c r="I101" i="3"/>
  <c r="J101" i="3"/>
  <c r="K101" i="3"/>
  <c r="L101" i="3"/>
  <c r="H102" i="3"/>
  <c r="I102" i="3"/>
  <c r="J102" i="3"/>
  <c r="K102" i="3"/>
  <c r="L102" i="3"/>
  <c r="H103" i="3"/>
  <c r="I103" i="3"/>
  <c r="J103" i="3"/>
  <c r="K103" i="3"/>
  <c r="L103" i="3"/>
  <c r="H104" i="3"/>
  <c r="I104" i="3"/>
  <c r="J104" i="3"/>
  <c r="K104" i="3"/>
  <c r="L104" i="3"/>
  <c r="H105" i="3"/>
  <c r="I105" i="3"/>
  <c r="J105" i="3"/>
  <c r="K105" i="3"/>
  <c r="L105" i="3"/>
  <c r="H106" i="3"/>
  <c r="I106" i="3"/>
  <c r="J106" i="3"/>
  <c r="K106" i="3"/>
  <c r="L106" i="3"/>
  <c r="H107" i="3"/>
  <c r="I107" i="3"/>
  <c r="J107" i="3"/>
  <c r="K107" i="3"/>
  <c r="L107" i="3"/>
  <c r="H108" i="3"/>
  <c r="I108" i="3"/>
  <c r="J108" i="3"/>
  <c r="K108" i="3"/>
  <c r="L108" i="3"/>
  <c r="H109" i="3"/>
  <c r="I109" i="3"/>
  <c r="J109" i="3"/>
  <c r="K109" i="3"/>
  <c r="L109" i="3"/>
  <c r="H110" i="3"/>
  <c r="I110" i="3"/>
  <c r="J110" i="3"/>
  <c r="K110" i="3"/>
  <c r="L110" i="3"/>
  <c r="H111" i="3"/>
  <c r="I111" i="3"/>
  <c r="J111" i="3"/>
  <c r="K111" i="3"/>
  <c r="L111" i="3"/>
  <c r="H112" i="3"/>
  <c r="I112" i="3"/>
  <c r="J112" i="3"/>
  <c r="K112" i="3"/>
  <c r="L112" i="3"/>
  <c r="H113" i="3"/>
  <c r="I113" i="3"/>
  <c r="J113" i="3"/>
  <c r="K113" i="3"/>
  <c r="L113" i="3"/>
  <c r="H114" i="3"/>
  <c r="I114" i="3"/>
  <c r="J114" i="3"/>
  <c r="K114" i="3"/>
  <c r="L114" i="3"/>
  <c r="H115" i="3"/>
  <c r="I115" i="3"/>
  <c r="J115" i="3"/>
  <c r="K115" i="3"/>
  <c r="L115" i="3"/>
  <c r="H116" i="3"/>
  <c r="I116" i="3"/>
  <c r="J116" i="3"/>
  <c r="K116" i="3"/>
  <c r="L116" i="3"/>
  <c r="H117" i="3"/>
  <c r="I117" i="3"/>
  <c r="J117" i="3"/>
  <c r="K117" i="3"/>
  <c r="L117" i="3"/>
  <c r="H118" i="3"/>
  <c r="I118" i="3"/>
  <c r="J118" i="3"/>
  <c r="K118" i="3"/>
  <c r="L118" i="3"/>
  <c r="H119" i="3"/>
  <c r="I119" i="3"/>
  <c r="J119" i="3"/>
  <c r="K119" i="3"/>
  <c r="L119" i="3"/>
  <c r="H120" i="3"/>
  <c r="I120" i="3"/>
  <c r="J120" i="3"/>
  <c r="K120" i="3"/>
  <c r="L120" i="3"/>
  <c r="H121" i="3"/>
  <c r="I121" i="3"/>
  <c r="J121" i="3"/>
  <c r="K121" i="3"/>
  <c r="L121" i="3"/>
  <c r="H122" i="3"/>
  <c r="I122" i="3"/>
  <c r="J122" i="3"/>
  <c r="K122" i="3"/>
  <c r="L122" i="3"/>
  <c r="H123" i="3"/>
  <c r="I123" i="3"/>
  <c r="J123" i="3"/>
  <c r="K123" i="3"/>
  <c r="L123" i="3"/>
  <c r="H124" i="3"/>
  <c r="I124" i="3"/>
  <c r="J124" i="3"/>
  <c r="K124" i="3"/>
  <c r="L124" i="3"/>
  <c r="H125" i="3"/>
  <c r="I125" i="3"/>
  <c r="J125" i="3"/>
  <c r="K125" i="3"/>
  <c r="L125" i="3"/>
  <c r="H126" i="3"/>
  <c r="I126" i="3"/>
  <c r="J126" i="3"/>
  <c r="K126" i="3"/>
  <c r="L126" i="3"/>
  <c r="H127" i="3"/>
  <c r="I127" i="3"/>
  <c r="J127" i="3"/>
  <c r="K127" i="3"/>
  <c r="L127" i="3"/>
  <c r="H128" i="3"/>
  <c r="I128" i="3"/>
  <c r="J128" i="3"/>
  <c r="K128" i="3"/>
  <c r="L128" i="3"/>
  <c r="H129" i="3"/>
  <c r="I129" i="3"/>
  <c r="J129" i="3"/>
  <c r="K129" i="3"/>
  <c r="L129" i="3"/>
  <c r="H130" i="3"/>
  <c r="I130" i="3"/>
  <c r="J130" i="3"/>
  <c r="K130" i="3"/>
  <c r="L130" i="3"/>
  <c r="H131" i="3"/>
  <c r="I131" i="3"/>
  <c r="J131" i="3"/>
  <c r="K131" i="3"/>
  <c r="L131" i="3"/>
  <c r="H132" i="3"/>
  <c r="I132" i="3"/>
  <c r="J132" i="3"/>
  <c r="K132" i="3"/>
  <c r="L132" i="3"/>
  <c r="H133" i="3"/>
  <c r="I133" i="3"/>
  <c r="J133" i="3"/>
  <c r="K133" i="3"/>
  <c r="L133" i="3"/>
  <c r="H134" i="3"/>
  <c r="I134" i="3"/>
  <c r="J134" i="3"/>
  <c r="K134" i="3"/>
  <c r="L134" i="3"/>
  <c r="H135" i="3"/>
  <c r="I135" i="3"/>
  <c r="J135" i="3"/>
  <c r="K135" i="3"/>
  <c r="L135" i="3"/>
  <c r="H136" i="3"/>
  <c r="I136" i="3"/>
  <c r="J136" i="3"/>
  <c r="K136" i="3"/>
  <c r="L136" i="3"/>
  <c r="H137" i="3"/>
  <c r="I137" i="3"/>
  <c r="J137" i="3"/>
  <c r="K137" i="3"/>
  <c r="L137" i="3"/>
  <c r="H138" i="3"/>
  <c r="I138" i="3"/>
  <c r="J138" i="3"/>
  <c r="K138" i="3"/>
  <c r="L138" i="3"/>
  <c r="H139" i="3"/>
  <c r="I139" i="3"/>
  <c r="J139" i="3"/>
  <c r="K139" i="3"/>
  <c r="L139" i="3"/>
  <c r="H140" i="3"/>
  <c r="I140" i="3"/>
  <c r="J140" i="3"/>
  <c r="K140" i="3"/>
  <c r="L140" i="3"/>
  <c r="H141" i="3"/>
  <c r="I141" i="3"/>
  <c r="J141" i="3"/>
  <c r="K141" i="3"/>
  <c r="L141" i="3"/>
  <c r="H142" i="3"/>
  <c r="I142" i="3"/>
  <c r="J142" i="3"/>
  <c r="K142" i="3"/>
  <c r="L142" i="3"/>
  <c r="H143" i="3"/>
  <c r="I143" i="3"/>
  <c r="J143" i="3"/>
  <c r="K143" i="3"/>
  <c r="L143" i="3"/>
  <c r="H144" i="3"/>
  <c r="I144" i="3"/>
  <c r="J144" i="3"/>
  <c r="K144" i="3"/>
  <c r="L144" i="3"/>
  <c r="H145" i="3"/>
  <c r="I145" i="3"/>
  <c r="J145" i="3"/>
  <c r="K145" i="3"/>
  <c r="L145" i="3"/>
  <c r="H146" i="3"/>
  <c r="I146" i="3"/>
  <c r="J146" i="3"/>
  <c r="K146" i="3"/>
  <c r="L146" i="3"/>
  <c r="H147" i="3"/>
  <c r="I147" i="3"/>
  <c r="J147" i="3"/>
  <c r="K147" i="3"/>
  <c r="L147" i="3"/>
  <c r="H148" i="3"/>
  <c r="I148" i="3"/>
  <c r="J148" i="3"/>
  <c r="K148" i="3"/>
  <c r="L148" i="3"/>
  <c r="H149" i="3"/>
  <c r="I149" i="3"/>
  <c r="J149" i="3"/>
  <c r="K149" i="3"/>
  <c r="L149" i="3"/>
  <c r="H150" i="3"/>
  <c r="I150" i="3"/>
  <c r="J150" i="3"/>
  <c r="K150" i="3"/>
  <c r="L150" i="3"/>
  <c r="H151" i="3"/>
  <c r="I151" i="3"/>
  <c r="J151" i="3"/>
  <c r="K151" i="3"/>
  <c r="L151" i="3"/>
  <c r="H152" i="3"/>
  <c r="I152" i="3"/>
  <c r="J152" i="3"/>
  <c r="K152" i="3"/>
  <c r="L152" i="3"/>
  <c r="H153" i="3"/>
  <c r="I153" i="3"/>
  <c r="J153" i="3"/>
  <c r="K153" i="3"/>
  <c r="L153" i="3"/>
  <c r="H154" i="3"/>
  <c r="I154" i="3"/>
  <c r="J154" i="3"/>
  <c r="K154" i="3"/>
  <c r="L154" i="3"/>
  <c r="H155" i="3"/>
  <c r="I155" i="3"/>
  <c r="J155" i="3"/>
  <c r="K155" i="3"/>
  <c r="L155" i="3"/>
  <c r="H156" i="3"/>
  <c r="I156" i="3"/>
  <c r="J156" i="3"/>
  <c r="K156" i="3"/>
  <c r="L156" i="3"/>
  <c r="H157" i="3"/>
  <c r="I157" i="3"/>
  <c r="J157" i="3"/>
  <c r="K157" i="3"/>
  <c r="L157" i="3"/>
  <c r="H158" i="3"/>
  <c r="I158" i="3"/>
  <c r="J158" i="3"/>
  <c r="K158" i="3"/>
  <c r="L158" i="3"/>
  <c r="H159" i="3"/>
  <c r="I159" i="3"/>
  <c r="J159" i="3"/>
  <c r="K159" i="3"/>
  <c r="L159" i="3"/>
  <c r="H160" i="3"/>
  <c r="I160" i="3"/>
  <c r="J160" i="3"/>
  <c r="K160" i="3"/>
  <c r="L160" i="3"/>
  <c r="H161" i="3"/>
  <c r="I161" i="3"/>
  <c r="J161" i="3"/>
  <c r="K161" i="3"/>
  <c r="L161" i="3"/>
  <c r="H162" i="3"/>
  <c r="I162" i="3"/>
  <c r="J162" i="3"/>
  <c r="K162" i="3"/>
  <c r="L162" i="3"/>
  <c r="H163" i="3"/>
  <c r="I163" i="3"/>
  <c r="J163" i="3"/>
  <c r="K163" i="3"/>
  <c r="L163" i="3"/>
  <c r="H164" i="3"/>
  <c r="I164" i="3"/>
  <c r="J164" i="3"/>
  <c r="K164" i="3"/>
  <c r="L164" i="3"/>
  <c r="H165" i="3"/>
  <c r="I165" i="3"/>
  <c r="J165" i="3"/>
  <c r="K165" i="3"/>
  <c r="L165" i="3"/>
  <c r="H166" i="3"/>
  <c r="I166" i="3"/>
  <c r="J166" i="3"/>
  <c r="K166" i="3"/>
  <c r="L166" i="3"/>
  <c r="H167" i="3"/>
  <c r="I167" i="3"/>
  <c r="J167" i="3"/>
  <c r="K167" i="3"/>
  <c r="L167" i="3"/>
  <c r="H168" i="3"/>
  <c r="I168" i="3"/>
  <c r="J168" i="3"/>
  <c r="K168" i="3"/>
  <c r="L168" i="3"/>
  <c r="H169" i="3"/>
  <c r="I169" i="3"/>
  <c r="J169" i="3"/>
  <c r="K169" i="3"/>
  <c r="L169" i="3"/>
  <c r="H170" i="3"/>
  <c r="I170" i="3"/>
  <c r="J170" i="3"/>
  <c r="K170" i="3"/>
  <c r="L170" i="3"/>
  <c r="H171" i="3"/>
  <c r="I171" i="3"/>
  <c r="J171" i="3"/>
  <c r="K171" i="3"/>
  <c r="L171" i="3"/>
  <c r="H172" i="3"/>
  <c r="I172" i="3"/>
  <c r="J172" i="3"/>
  <c r="K172" i="3"/>
  <c r="L172" i="3"/>
  <c r="H173" i="3"/>
  <c r="I173" i="3"/>
  <c r="J173" i="3"/>
  <c r="K173" i="3"/>
  <c r="L173" i="3"/>
  <c r="H174" i="3"/>
  <c r="I174" i="3"/>
  <c r="J174" i="3"/>
  <c r="K174" i="3"/>
  <c r="L174" i="3"/>
  <c r="H175" i="3"/>
  <c r="I175" i="3"/>
  <c r="J175" i="3"/>
  <c r="K175" i="3"/>
  <c r="L175" i="3"/>
  <c r="H176" i="3"/>
  <c r="I176" i="3"/>
  <c r="J176" i="3"/>
  <c r="K176" i="3"/>
  <c r="L176" i="3"/>
  <c r="H177" i="3"/>
  <c r="I177" i="3"/>
  <c r="J177" i="3"/>
  <c r="K177" i="3"/>
  <c r="L177" i="3"/>
  <c r="H178" i="3"/>
  <c r="I178" i="3"/>
  <c r="J178" i="3"/>
  <c r="K178" i="3"/>
  <c r="L178" i="3"/>
  <c r="H179" i="3"/>
  <c r="I179" i="3"/>
  <c r="J179" i="3"/>
  <c r="K179" i="3"/>
  <c r="L179" i="3"/>
  <c r="H180" i="3"/>
  <c r="I180" i="3"/>
  <c r="J180" i="3"/>
  <c r="K180" i="3"/>
  <c r="L180" i="3"/>
  <c r="H181" i="3"/>
  <c r="I181" i="3"/>
  <c r="J181" i="3"/>
  <c r="K181" i="3"/>
  <c r="L181" i="3"/>
  <c r="H182" i="3"/>
  <c r="I182" i="3"/>
  <c r="J182" i="3"/>
  <c r="K182" i="3"/>
  <c r="L182" i="3"/>
  <c r="H183" i="3"/>
  <c r="I183" i="3"/>
  <c r="J183" i="3"/>
  <c r="K183" i="3"/>
  <c r="L183" i="3"/>
  <c r="H184" i="3"/>
  <c r="I184" i="3"/>
  <c r="J184" i="3"/>
  <c r="K184" i="3"/>
  <c r="L184" i="3"/>
  <c r="H185" i="3"/>
  <c r="I185" i="3"/>
  <c r="J185" i="3"/>
  <c r="K185" i="3"/>
  <c r="L185" i="3"/>
  <c r="H186" i="3"/>
  <c r="I186" i="3"/>
  <c r="J186" i="3"/>
  <c r="K186" i="3"/>
  <c r="L186" i="3"/>
  <c r="H187" i="3"/>
  <c r="I187" i="3"/>
  <c r="J187" i="3"/>
  <c r="K187" i="3"/>
  <c r="L187" i="3"/>
  <c r="H188" i="3"/>
  <c r="I188" i="3"/>
  <c r="J188" i="3"/>
  <c r="K188" i="3"/>
  <c r="L188" i="3"/>
  <c r="H189" i="3"/>
  <c r="I189" i="3"/>
  <c r="J189" i="3"/>
  <c r="K189" i="3"/>
  <c r="L189" i="3"/>
  <c r="H190" i="3"/>
  <c r="I190" i="3"/>
  <c r="J190" i="3"/>
  <c r="K190" i="3"/>
  <c r="L190" i="3"/>
  <c r="H191" i="3"/>
  <c r="I191" i="3"/>
  <c r="J191" i="3"/>
  <c r="K191" i="3"/>
  <c r="L191" i="3"/>
  <c r="H192" i="3"/>
  <c r="I192" i="3"/>
  <c r="J192" i="3"/>
  <c r="K192" i="3"/>
  <c r="L192" i="3"/>
  <c r="H193" i="3"/>
  <c r="I193" i="3"/>
  <c r="J193" i="3"/>
  <c r="K193" i="3"/>
  <c r="L193" i="3"/>
  <c r="H194" i="3"/>
  <c r="I194" i="3"/>
  <c r="J194" i="3"/>
  <c r="K194" i="3"/>
  <c r="L194" i="3"/>
  <c r="H195" i="3"/>
  <c r="I195" i="3"/>
  <c r="J195" i="3"/>
  <c r="K195" i="3"/>
  <c r="L195" i="3"/>
  <c r="H196" i="3"/>
  <c r="I196" i="3"/>
  <c r="J196" i="3"/>
  <c r="K196" i="3"/>
  <c r="L196" i="3"/>
  <c r="H197" i="3"/>
  <c r="I197" i="3"/>
  <c r="J197" i="3"/>
  <c r="K197" i="3"/>
  <c r="L197" i="3"/>
  <c r="H198" i="3"/>
  <c r="I198" i="3"/>
  <c r="J198" i="3"/>
  <c r="K198" i="3"/>
  <c r="L198" i="3"/>
  <c r="H199" i="3"/>
  <c r="I199" i="3"/>
  <c r="J199" i="3"/>
  <c r="K199" i="3"/>
  <c r="L199" i="3"/>
  <c r="H200" i="3"/>
  <c r="I200" i="3"/>
  <c r="J200" i="3"/>
  <c r="K200" i="3"/>
  <c r="L200" i="3"/>
  <c r="H201" i="3"/>
  <c r="I201" i="3"/>
  <c r="J201" i="3"/>
  <c r="K201" i="3"/>
  <c r="L201" i="3"/>
  <c r="H202" i="3"/>
  <c r="I202" i="3"/>
  <c r="J202" i="3"/>
  <c r="K202" i="3"/>
  <c r="L202" i="3"/>
  <c r="H203" i="3"/>
  <c r="I203" i="3"/>
  <c r="J203" i="3"/>
  <c r="K203" i="3"/>
  <c r="L203" i="3"/>
  <c r="H204" i="3"/>
  <c r="I204" i="3"/>
  <c r="J204" i="3"/>
  <c r="K204" i="3"/>
  <c r="L204" i="3"/>
  <c r="H205" i="3"/>
  <c r="I205" i="3"/>
  <c r="J205" i="3"/>
  <c r="K205" i="3"/>
  <c r="L205" i="3"/>
  <c r="H206" i="3"/>
  <c r="I206" i="3"/>
  <c r="J206" i="3"/>
  <c r="K206" i="3"/>
  <c r="L206" i="3"/>
  <c r="H207" i="3"/>
  <c r="I207" i="3"/>
  <c r="J207" i="3"/>
  <c r="K207" i="3"/>
  <c r="L207" i="3"/>
  <c r="H208" i="3"/>
  <c r="I208" i="3"/>
  <c r="J208" i="3"/>
  <c r="K208" i="3"/>
  <c r="L208" i="3"/>
  <c r="H209" i="3"/>
  <c r="I209" i="3"/>
  <c r="J209" i="3"/>
  <c r="K209" i="3"/>
  <c r="L209" i="3"/>
  <c r="H210" i="3"/>
  <c r="I210" i="3"/>
  <c r="J210" i="3"/>
  <c r="K210" i="3"/>
  <c r="L210" i="3"/>
  <c r="H211" i="3"/>
  <c r="I211" i="3"/>
  <c r="J211" i="3"/>
  <c r="K211" i="3"/>
  <c r="L211" i="3"/>
  <c r="H212" i="3"/>
  <c r="I212" i="3"/>
  <c r="J212" i="3"/>
  <c r="K212" i="3"/>
  <c r="L212" i="3"/>
  <c r="H213" i="3"/>
  <c r="I213" i="3"/>
  <c r="J213" i="3"/>
  <c r="K213" i="3"/>
  <c r="L213" i="3"/>
  <c r="H214" i="3"/>
  <c r="I214" i="3"/>
  <c r="J214" i="3"/>
  <c r="K214" i="3"/>
  <c r="L214" i="3"/>
  <c r="H215" i="3"/>
  <c r="I215" i="3"/>
  <c r="J215" i="3"/>
  <c r="K215" i="3"/>
  <c r="L215" i="3"/>
  <c r="H216" i="3"/>
  <c r="I216" i="3"/>
  <c r="J216" i="3"/>
  <c r="K216" i="3"/>
  <c r="L216" i="3"/>
  <c r="H217" i="3"/>
  <c r="I217" i="3"/>
  <c r="J217" i="3"/>
  <c r="K217" i="3"/>
  <c r="L217" i="3"/>
  <c r="H218" i="3"/>
  <c r="I218" i="3"/>
  <c r="J218" i="3"/>
  <c r="K218" i="3"/>
  <c r="L218" i="3"/>
  <c r="H219" i="3"/>
  <c r="I219" i="3"/>
  <c r="J219" i="3"/>
  <c r="K219" i="3"/>
  <c r="L219" i="3"/>
  <c r="H220" i="3"/>
  <c r="I220" i="3"/>
  <c r="J220" i="3"/>
  <c r="K220" i="3"/>
  <c r="L220" i="3"/>
  <c r="H221" i="3"/>
  <c r="I221" i="3"/>
  <c r="J221" i="3"/>
  <c r="K221" i="3"/>
  <c r="L221" i="3"/>
  <c r="H222" i="3"/>
  <c r="I222" i="3"/>
  <c r="J222" i="3"/>
  <c r="K222" i="3"/>
  <c r="L222" i="3"/>
  <c r="H223" i="3"/>
  <c r="I223" i="3"/>
  <c r="J223" i="3"/>
  <c r="K223" i="3"/>
  <c r="L223" i="3"/>
  <c r="H224" i="3"/>
  <c r="I224" i="3"/>
  <c r="J224" i="3"/>
  <c r="K224" i="3"/>
  <c r="L224" i="3"/>
  <c r="H225" i="3"/>
  <c r="I225" i="3"/>
  <c r="J225" i="3"/>
  <c r="K225" i="3"/>
  <c r="L225" i="3"/>
  <c r="H226" i="3"/>
  <c r="I226" i="3"/>
  <c r="J226" i="3"/>
  <c r="K226" i="3"/>
  <c r="L226" i="3"/>
  <c r="H227" i="3"/>
  <c r="I227" i="3"/>
  <c r="J227" i="3"/>
  <c r="K227" i="3"/>
  <c r="L227" i="3"/>
  <c r="H228" i="3"/>
  <c r="I228" i="3"/>
  <c r="J228" i="3"/>
  <c r="K228" i="3"/>
  <c r="L228" i="3"/>
  <c r="H229" i="3"/>
  <c r="I229" i="3"/>
  <c r="J229" i="3"/>
  <c r="K229" i="3"/>
  <c r="L229" i="3"/>
  <c r="H230" i="3"/>
  <c r="I230" i="3"/>
  <c r="J230" i="3"/>
  <c r="K230" i="3"/>
  <c r="L230" i="3"/>
  <c r="H231" i="3"/>
  <c r="I231" i="3"/>
  <c r="J231" i="3"/>
  <c r="K231" i="3"/>
  <c r="L231" i="3"/>
  <c r="H232" i="3"/>
  <c r="I232" i="3"/>
  <c r="J232" i="3"/>
  <c r="K232" i="3"/>
  <c r="L232" i="3"/>
  <c r="H233" i="3"/>
  <c r="I233" i="3"/>
  <c r="J233" i="3"/>
  <c r="K233" i="3"/>
  <c r="L233" i="3"/>
  <c r="H234" i="3"/>
  <c r="I234" i="3"/>
  <c r="J234" i="3"/>
  <c r="K234" i="3"/>
  <c r="L234" i="3"/>
  <c r="H235" i="3"/>
  <c r="I235" i="3"/>
  <c r="J235" i="3"/>
  <c r="K235" i="3"/>
  <c r="L235" i="3"/>
  <c r="H236" i="3"/>
  <c r="I236" i="3"/>
  <c r="J236" i="3"/>
  <c r="K236" i="3"/>
  <c r="L236" i="3"/>
  <c r="H237" i="3"/>
  <c r="I237" i="3"/>
  <c r="J237" i="3"/>
  <c r="K237" i="3"/>
  <c r="L237" i="3"/>
  <c r="H238" i="3"/>
  <c r="I238" i="3"/>
  <c r="J238" i="3"/>
  <c r="K238" i="3"/>
  <c r="L238" i="3"/>
  <c r="H239" i="3"/>
  <c r="I239" i="3"/>
  <c r="J239" i="3"/>
  <c r="K239" i="3"/>
  <c r="L239" i="3"/>
  <c r="H240" i="3"/>
  <c r="I240" i="3"/>
  <c r="J240" i="3"/>
  <c r="K240" i="3"/>
  <c r="L240" i="3"/>
  <c r="H241" i="3"/>
  <c r="I241" i="3"/>
  <c r="J241" i="3"/>
  <c r="K241" i="3"/>
  <c r="L241" i="3"/>
  <c r="H242" i="3"/>
  <c r="I242" i="3"/>
  <c r="J242" i="3"/>
  <c r="K242" i="3"/>
  <c r="L242" i="3"/>
  <c r="H243" i="3"/>
  <c r="I243" i="3"/>
  <c r="J243" i="3"/>
  <c r="K243" i="3"/>
  <c r="L243" i="3"/>
  <c r="H244" i="3"/>
  <c r="I244" i="3"/>
  <c r="J244" i="3"/>
  <c r="K244" i="3"/>
  <c r="L244" i="3"/>
  <c r="H245" i="3"/>
  <c r="I245" i="3"/>
  <c r="J245" i="3"/>
  <c r="K245" i="3"/>
  <c r="L245" i="3"/>
  <c r="H246" i="3"/>
  <c r="I246" i="3"/>
  <c r="J246" i="3"/>
  <c r="K246" i="3"/>
  <c r="L246" i="3"/>
  <c r="H247" i="3"/>
  <c r="I247" i="3"/>
  <c r="J247" i="3"/>
  <c r="K247" i="3"/>
  <c r="L247" i="3"/>
  <c r="H248" i="3"/>
  <c r="I248" i="3"/>
  <c r="J248" i="3"/>
  <c r="K248" i="3"/>
  <c r="L248" i="3"/>
  <c r="H249" i="3"/>
  <c r="I249" i="3"/>
  <c r="J249" i="3"/>
  <c r="K249" i="3"/>
  <c r="L249" i="3"/>
  <c r="H250" i="3"/>
  <c r="I250" i="3"/>
  <c r="J250" i="3"/>
  <c r="K250" i="3"/>
  <c r="L250" i="3"/>
  <c r="H251" i="3"/>
  <c r="I251" i="3"/>
  <c r="J251" i="3"/>
  <c r="K251" i="3"/>
  <c r="L251" i="3"/>
  <c r="H252" i="3"/>
  <c r="I252" i="3"/>
  <c r="J252" i="3"/>
  <c r="K252" i="3"/>
  <c r="L252" i="3"/>
  <c r="H253" i="3"/>
  <c r="I253" i="3"/>
  <c r="J253" i="3"/>
  <c r="K253" i="3"/>
  <c r="L253" i="3"/>
  <c r="H254" i="3"/>
  <c r="I254" i="3"/>
  <c r="J254" i="3"/>
  <c r="K254" i="3"/>
  <c r="L254" i="3"/>
  <c r="H255" i="3"/>
  <c r="I255" i="3"/>
  <c r="J255" i="3"/>
  <c r="K255" i="3"/>
  <c r="L255" i="3"/>
  <c r="H256" i="3"/>
  <c r="I256" i="3"/>
  <c r="J256" i="3"/>
  <c r="K256" i="3"/>
  <c r="L256" i="3"/>
  <c r="H257" i="3"/>
  <c r="I257" i="3"/>
  <c r="J257" i="3"/>
  <c r="K257" i="3"/>
  <c r="L257" i="3"/>
  <c r="H258" i="3"/>
  <c r="I258" i="3"/>
  <c r="J258" i="3"/>
  <c r="K258" i="3"/>
  <c r="L258" i="3"/>
  <c r="H259" i="3"/>
  <c r="I259" i="3"/>
  <c r="J259" i="3"/>
  <c r="K259" i="3"/>
  <c r="L259" i="3"/>
  <c r="H260" i="3"/>
  <c r="I260" i="3"/>
  <c r="J260" i="3"/>
  <c r="K260" i="3"/>
  <c r="L260" i="3"/>
  <c r="H261" i="3"/>
  <c r="I261" i="3"/>
  <c r="J261" i="3"/>
  <c r="K261" i="3"/>
  <c r="L261" i="3"/>
  <c r="H262" i="3"/>
  <c r="I262" i="3"/>
  <c r="J262" i="3"/>
  <c r="K262" i="3"/>
  <c r="L262" i="3"/>
  <c r="H263" i="3"/>
  <c r="I263" i="3"/>
  <c r="J263" i="3"/>
  <c r="K263" i="3"/>
  <c r="L263" i="3"/>
  <c r="H264" i="3"/>
  <c r="I264" i="3"/>
  <c r="J264" i="3"/>
  <c r="K264" i="3"/>
  <c r="L264" i="3"/>
  <c r="H265" i="3"/>
  <c r="I265" i="3"/>
  <c r="J265" i="3"/>
  <c r="K265" i="3"/>
  <c r="L265" i="3"/>
  <c r="H266" i="3"/>
  <c r="I266" i="3"/>
  <c r="J266" i="3"/>
  <c r="K266" i="3"/>
  <c r="L266" i="3"/>
  <c r="H267" i="3"/>
  <c r="I267" i="3"/>
  <c r="J267" i="3"/>
  <c r="K267" i="3"/>
  <c r="L267" i="3"/>
  <c r="H268" i="3"/>
  <c r="I268" i="3"/>
  <c r="J268" i="3"/>
  <c r="K268" i="3"/>
  <c r="L268" i="3"/>
  <c r="H269" i="3"/>
  <c r="I269" i="3"/>
  <c r="J269" i="3"/>
  <c r="K269" i="3"/>
  <c r="L269" i="3"/>
  <c r="H270" i="3"/>
  <c r="I270" i="3"/>
  <c r="J270" i="3"/>
  <c r="K270" i="3"/>
  <c r="L270" i="3"/>
  <c r="H271" i="3"/>
  <c r="I271" i="3"/>
  <c r="J271" i="3"/>
  <c r="K271" i="3"/>
  <c r="L271" i="3"/>
  <c r="H272" i="3"/>
  <c r="I272" i="3"/>
  <c r="J272" i="3"/>
  <c r="K272" i="3"/>
  <c r="L272" i="3"/>
  <c r="H273" i="3"/>
  <c r="I273" i="3"/>
  <c r="J273" i="3"/>
  <c r="K273" i="3"/>
  <c r="L273" i="3"/>
  <c r="H274" i="3"/>
  <c r="I274" i="3"/>
  <c r="J274" i="3"/>
  <c r="K274" i="3"/>
  <c r="L274" i="3"/>
  <c r="H275" i="3"/>
  <c r="I275" i="3"/>
  <c r="J275" i="3"/>
  <c r="K275" i="3"/>
  <c r="L275" i="3"/>
  <c r="H276" i="3"/>
  <c r="I276" i="3"/>
  <c r="J276" i="3"/>
  <c r="K276" i="3"/>
  <c r="L276" i="3"/>
  <c r="H277" i="3"/>
  <c r="I277" i="3"/>
  <c r="J277" i="3"/>
  <c r="K277" i="3"/>
  <c r="L277" i="3"/>
  <c r="H278" i="3"/>
  <c r="I278" i="3"/>
  <c r="J278" i="3"/>
  <c r="K278" i="3"/>
  <c r="L278" i="3"/>
  <c r="H279" i="3"/>
  <c r="I279" i="3"/>
  <c r="J279" i="3"/>
  <c r="K279" i="3"/>
  <c r="L279" i="3"/>
  <c r="H280" i="3"/>
  <c r="I280" i="3"/>
  <c r="J280" i="3"/>
  <c r="K280" i="3"/>
  <c r="L280" i="3"/>
  <c r="H281" i="3"/>
  <c r="I281" i="3"/>
  <c r="J281" i="3"/>
  <c r="K281" i="3"/>
  <c r="L281" i="3"/>
  <c r="H282" i="3"/>
  <c r="I282" i="3"/>
  <c r="J282" i="3"/>
  <c r="K282" i="3"/>
  <c r="L282" i="3"/>
  <c r="H283" i="3"/>
  <c r="I283" i="3"/>
  <c r="J283" i="3"/>
  <c r="K283" i="3"/>
  <c r="L283" i="3"/>
  <c r="H284" i="3"/>
  <c r="I284" i="3"/>
  <c r="J284" i="3"/>
  <c r="K284" i="3"/>
  <c r="L284" i="3"/>
  <c r="H285" i="3"/>
  <c r="I285" i="3"/>
  <c r="J285" i="3"/>
  <c r="K285" i="3"/>
  <c r="L285" i="3"/>
  <c r="H286" i="3"/>
  <c r="I286" i="3"/>
  <c r="J286" i="3"/>
  <c r="K286" i="3"/>
  <c r="L286" i="3"/>
  <c r="H287" i="3"/>
  <c r="I287" i="3"/>
  <c r="J287" i="3"/>
  <c r="K287" i="3"/>
  <c r="L287" i="3"/>
  <c r="H288" i="3"/>
  <c r="I288" i="3"/>
  <c r="J288" i="3"/>
  <c r="K288" i="3"/>
  <c r="L288" i="3"/>
  <c r="H289" i="3"/>
  <c r="I289" i="3"/>
  <c r="J289" i="3"/>
  <c r="K289" i="3"/>
  <c r="L289" i="3"/>
  <c r="H290" i="3"/>
  <c r="I290" i="3"/>
  <c r="J290" i="3"/>
  <c r="K290" i="3"/>
  <c r="L290" i="3"/>
  <c r="H291" i="3"/>
  <c r="I291" i="3"/>
  <c r="J291" i="3"/>
  <c r="K291" i="3"/>
  <c r="L291" i="3"/>
  <c r="H292" i="3"/>
  <c r="I292" i="3"/>
  <c r="J292" i="3"/>
  <c r="K292" i="3"/>
  <c r="L292" i="3"/>
  <c r="H293" i="3"/>
  <c r="I293" i="3"/>
  <c r="J293" i="3"/>
  <c r="K293" i="3"/>
  <c r="L293" i="3"/>
  <c r="H294" i="3"/>
  <c r="I294" i="3"/>
  <c r="J294" i="3"/>
  <c r="K294" i="3"/>
  <c r="L294" i="3"/>
  <c r="H295" i="3"/>
  <c r="I295" i="3"/>
  <c r="J295" i="3"/>
  <c r="K295" i="3"/>
  <c r="L295" i="3"/>
  <c r="H296" i="3"/>
  <c r="I296" i="3"/>
  <c r="J296" i="3"/>
  <c r="K296" i="3"/>
  <c r="L296" i="3"/>
  <c r="H297" i="3"/>
  <c r="I297" i="3"/>
  <c r="J297" i="3"/>
  <c r="K297" i="3"/>
  <c r="L297" i="3"/>
  <c r="H298" i="3"/>
  <c r="I298" i="3"/>
  <c r="J298" i="3"/>
  <c r="K298" i="3"/>
  <c r="L298" i="3"/>
  <c r="H299" i="3"/>
  <c r="I299" i="3"/>
  <c r="J299" i="3"/>
  <c r="K299" i="3"/>
  <c r="L299" i="3"/>
  <c r="H300" i="3"/>
  <c r="I300" i="3"/>
  <c r="J300" i="3"/>
  <c r="K300" i="3"/>
  <c r="L300" i="3"/>
  <c r="H301" i="3"/>
  <c r="I301" i="3"/>
  <c r="J301" i="3"/>
  <c r="K301" i="3"/>
  <c r="L301" i="3"/>
  <c r="H302" i="3"/>
  <c r="I302" i="3"/>
  <c r="J302" i="3"/>
  <c r="K302" i="3"/>
  <c r="L302" i="3"/>
  <c r="H303" i="3"/>
  <c r="I303" i="3"/>
  <c r="J303" i="3"/>
  <c r="K303" i="3"/>
  <c r="L303" i="3"/>
  <c r="H304" i="3"/>
  <c r="I304" i="3"/>
  <c r="J304" i="3"/>
  <c r="K304" i="3"/>
  <c r="L304" i="3"/>
  <c r="H305" i="3"/>
  <c r="I305" i="3"/>
  <c r="J305" i="3"/>
  <c r="K305" i="3"/>
  <c r="L305" i="3"/>
  <c r="H306" i="3"/>
  <c r="I306" i="3"/>
  <c r="J306" i="3"/>
  <c r="K306" i="3"/>
  <c r="L306" i="3"/>
  <c r="H307" i="3"/>
  <c r="I307" i="3"/>
  <c r="J307" i="3"/>
  <c r="K307" i="3"/>
  <c r="L307" i="3"/>
  <c r="H308" i="3"/>
  <c r="I308" i="3"/>
  <c r="J308" i="3"/>
  <c r="K308" i="3"/>
  <c r="L308" i="3"/>
  <c r="H309" i="3"/>
  <c r="I309" i="3"/>
  <c r="J309" i="3"/>
  <c r="K309" i="3"/>
  <c r="L309" i="3"/>
  <c r="H310" i="3"/>
  <c r="I310" i="3"/>
  <c r="J310" i="3"/>
  <c r="K310" i="3"/>
  <c r="L310" i="3"/>
  <c r="H311" i="3"/>
  <c r="I311" i="3"/>
  <c r="J311" i="3"/>
  <c r="K311" i="3"/>
  <c r="L311" i="3"/>
  <c r="H312" i="3"/>
  <c r="I312" i="3"/>
  <c r="J312" i="3"/>
  <c r="K312" i="3"/>
  <c r="L312" i="3"/>
  <c r="H313" i="3"/>
  <c r="I313" i="3"/>
  <c r="J313" i="3"/>
  <c r="K313" i="3"/>
  <c r="L313" i="3"/>
  <c r="H314" i="3"/>
  <c r="I314" i="3"/>
  <c r="J314" i="3"/>
  <c r="K314" i="3"/>
  <c r="L314" i="3"/>
  <c r="H315" i="3"/>
  <c r="I315" i="3"/>
  <c r="J315" i="3"/>
  <c r="K315" i="3"/>
  <c r="L315" i="3"/>
  <c r="H316" i="3"/>
  <c r="I316" i="3"/>
  <c r="J316" i="3"/>
  <c r="K316" i="3"/>
  <c r="L316" i="3"/>
  <c r="H317" i="3"/>
  <c r="I317" i="3"/>
  <c r="J317" i="3"/>
  <c r="K317" i="3"/>
  <c r="L317" i="3"/>
  <c r="H318" i="3"/>
  <c r="I318" i="3"/>
  <c r="J318" i="3"/>
  <c r="K318" i="3"/>
  <c r="L318" i="3"/>
  <c r="H319" i="3"/>
  <c r="I319" i="3"/>
  <c r="J319" i="3"/>
  <c r="K319" i="3"/>
  <c r="L319" i="3"/>
  <c r="H320" i="3"/>
  <c r="I320" i="3"/>
  <c r="J320" i="3"/>
  <c r="K320" i="3"/>
  <c r="L320" i="3"/>
  <c r="H321" i="3"/>
  <c r="I321" i="3"/>
  <c r="J321" i="3"/>
  <c r="K321" i="3"/>
  <c r="L321" i="3"/>
  <c r="H322" i="3"/>
  <c r="I322" i="3"/>
  <c r="J322" i="3"/>
  <c r="K322" i="3"/>
  <c r="L322" i="3"/>
  <c r="H323" i="3"/>
  <c r="I323" i="3"/>
  <c r="J323" i="3"/>
  <c r="K323" i="3"/>
  <c r="L323" i="3"/>
  <c r="H324" i="3"/>
  <c r="I324" i="3"/>
  <c r="J324" i="3"/>
  <c r="K324" i="3"/>
  <c r="L324" i="3"/>
  <c r="H325" i="3"/>
  <c r="I325" i="3"/>
  <c r="J325" i="3"/>
  <c r="K325" i="3"/>
  <c r="L325" i="3"/>
  <c r="H326" i="3"/>
  <c r="I326" i="3"/>
  <c r="J326" i="3"/>
  <c r="K326" i="3"/>
  <c r="L326" i="3"/>
  <c r="H327" i="3"/>
  <c r="I327" i="3"/>
  <c r="J327" i="3"/>
  <c r="K327" i="3"/>
  <c r="L327" i="3"/>
  <c r="H328" i="3"/>
  <c r="I328" i="3"/>
  <c r="J328" i="3"/>
  <c r="K328" i="3"/>
  <c r="L328" i="3"/>
  <c r="H329" i="3"/>
  <c r="I329" i="3"/>
  <c r="J329" i="3"/>
  <c r="K329" i="3"/>
  <c r="L329" i="3"/>
  <c r="H330" i="3"/>
  <c r="I330" i="3"/>
  <c r="J330" i="3"/>
  <c r="K330" i="3"/>
  <c r="L330" i="3"/>
  <c r="H331" i="3"/>
  <c r="I331" i="3"/>
  <c r="J331" i="3"/>
  <c r="K331" i="3"/>
  <c r="L331" i="3"/>
  <c r="H332" i="3"/>
  <c r="I332" i="3"/>
  <c r="J332" i="3"/>
  <c r="K332" i="3"/>
  <c r="L332" i="3"/>
  <c r="H333" i="3"/>
  <c r="I333" i="3"/>
  <c r="J333" i="3"/>
  <c r="K333" i="3"/>
  <c r="L333" i="3"/>
  <c r="H334" i="3"/>
  <c r="I334" i="3"/>
  <c r="J334" i="3"/>
  <c r="K334" i="3"/>
  <c r="L334" i="3"/>
  <c r="H335" i="3"/>
  <c r="I335" i="3"/>
  <c r="J335" i="3"/>
  <c r="K335" i="3"/>
  <c r="L335" i="3"/>
  <c r="H336" i="3"/>
  <c r="I336" i="3"/>
  <c r="J336" i="3"/>
  <c r="K336" i="3"/>
  <c r="L336" i="3"/>
  <c r="H337" i="3"/>
  <c r="I337" i="3"/>
  <c r="J337" i="3"/>
  <c r="K337" i="3"/>
  <c r="L337" i="3"/>
  <c r="H338" i="3"/>
  <c r="I338" i="3"/>
  <c r="J338" i="3"/>
  <c r="K338" i="3"/>
  <c r="L338" i="3"/>
  <c r="H339" i="3"/>
  <c r="I339" i="3"/>
  <c r="J339" i="3"/>
  <c r="K339" i="3"/>
  <c r="L339" i="3"/>
  <c r="H340" i="3"/>
  <c r="I340" i="3"/>
  <c r="J340" i="3"/>
  <c r="K340" i="3"/>
  <c r="L340" i="3"/>
  <c r="H341" i="3"/>
  <c r="I341" i="3"/>
  <c r="J341" i="3"/>
  <c r="K341" i="3"/>
  <c r="L341" i="3"/>
  <c r="H342" i="3"/>
  <c r="I342" i="3"/>
  <c r="J342" i="3"/>
  <c r="K342" i="3"/>
  <c r="L342" i="3"/>
  <c r="H343" i="3"/>
  <c r="I343" i="3"/>
  <c r="J343" i="3"/>
  <c r="K343" i="3"/>
  <c r="L343" i="3"/>
  <c r="H344" i="3"/>
  <c r="I344" i="3"/>
  <c r="J344" i="3"/>
  <c r="K344" i="3"/>
  <c r="L344" i="3"/>
  <c r="H345" i="3"/>
  <c r="I345" i="3"/>
  <c r="J345" i="3"/>
  <c r="K345" i="3"/>
  <c r="L345" i="3"/>
  <c r="H346" i="3"/>
  <c r="I346" i="3"/>
  <c r="J346" i="3"/>
  <c r="K346" i="3"/>
  <c r="L346" i="3"/>
  <c r="H347" i="3"/>
  <c r="I347" i="3"/>
  <c r="J347" i="3"/>
  <c r="K347" i="3"/>
  <c r="L347" i="3"/>
  <c r="H348" i="3"/>
  <c r="I348" i="3"/>
  <c r="J348" i="3"/>
  <c r="K348" i="3"/>
  <c r="L348" i="3"/>
  <c r="H349" i="3"/>
  <c r="I349" i="3"/>
  <c r="J349" i="3"/>
  <c r="K349" i="3"/>
  <c r="L349" i="3"/>
  <c r="H350" i="3"/>
  <c r="I350" i="3"/>
  <c r="J350" i="3"/>
  <c r="K350" i="3"/>
  <c r="L350" i="3"/>
  <c r="H351" i="3"/>
  <c r="I351" i="3"/>
  <c r="J351" i="3"/>
  <c r="K351" i="3"/>
  <c r="L351" i="3"/>
  <c r="H352" i="3"/>
  <c r="I352" i="3"/>
  <c r="J352" i="3"/>
  <c r="K352" i="3"/>
  <c r="L352" i="3"/>
  <c r="H353" i="3"/>
  <c r="I353" i="3"/>
  <c r="J353" i="3"/>
  <c r="K353" i="3"/>
  <c r="L353" i="3"/>
  <c r="H354" i="3"/>
  <c r="I354" i="3"/>
  <c r="J354" i="3"/>
  <c r="K354" i="3"/>
  <c r="L354" i="3"/>
  <c r="H355" i="3"/>
  <c r="I355" i="3"/>
  <c r="J355" i="3"/>
  <c r="K355" i="3"/>
  <c r="L355" i="3"/>
  <c r="H356" i="3"/>
  <c r="I356" i="3"/>
  <c r="J356" i="3"/>
  <c r="K356" i="3"/>
  <c r="L356" i="3"/>
  <c r="H357" i="3"/>
  <c r="I357" i="3"/>
  <c r="J357" i="3"/>
  <c r="K357" i="3"/>
  <c r="L357" i="3"/>
  <c r="H358" i="3"/>
  <c r="I358" i="3"/>
  <c r="J358" i="3"/>
  <c r="K358" i="3"/>
  <c r="L358" i="3"/>
  <c r="H359" i="3"/>
  <c r="I359" i="3"/>
  <c r="J359" i="3"/>
  <c r="K359" i="3"/>
  <c r="L359" i="3"/>
  <c r="H360" i="3"/>
  <c r="I360" i="3"/>
  <c r="J360" i="3"/>
  <c r="K360" i="3"/>
  <c r="L360" i="3"/>
  <c r="H361" i="3"/>
  <c r="I361" i="3"/>
  <c r="J361" i="3"/>
  <c r="K361" i="3"/>
  <c r="L361" i="3"/>
  <c r="H362" i="3"/>
  <c r="I362" i="3"/>
  <c r="J362" i="3"/>
  <c r="K362" i="3"/>
  <c r="L362" i="3"/>
  <c r="H363" i="3"/>
  <c r="I363" i="3"/>
  <c r="J363" i="3"/>
  <c r="K363" i="3"/>
  <c r="L363" i="3"/>
  <c r="H364" i="3"/>
  <c r="I364" i="3"/>
  <c r="J364" i="3"/>
  <c r="K364" i="3"/>
  <c r="L364" i="3"/>
  <c r="H365" i="3"/>
  <c r="I365" i="3"/>
  <c r="J365" i="3"/>
  <c r="K365" i="3"/>
  <c r="L365" i="3"/>
  <c r="H366" i="3"/>
  <c r="I366" i="3"/>
  <c r="J366" i="3"/>
  <c r="K366" i="3"/>
  <c r="L366" i="3"/>
  <c r="H367" i="3"/>
  <c r="I367" i="3"/>
  <c r="J367" i="3"/>
  <c r="K367" i="3"/>
  <c r="L367" i="3"/>
  <c r="H368" i="3"/>
  <c r="I368" i="3"/>
  <c r="J368" i="3"/>
  <c r="K368" i="3"/>
  <c r="L368" i="3"/>
  <c r="H369" i="3"/>
  <c r="I369" i="3"/>
  <c r="J369" i="3"/>
  <c r="K369" i="3"/>
  <c r="L369" i="3"/>
  <c r="H370" i="3"/>
  <c r="I370" i="3"/>
  <c r="J370" i="3"/>
  <c r="K370" i="3"/>
  <c r="L370" i="3"/>
  <c r="H371" i="3"/>
  <c r="I371" i="3"/>
  <c r="J371" i="3"/>
  <c r="K371" i="3"/>
  <c r="L371" i="3"/>
  <c r="H372" i="3"/>
  <c r="I372" i="3"/>
  <c r="J372" i="3"/>
  <c r="K372" i="3"/>
  <c r="L372" i="3"/>
  <c r="H373" i="3"/>
  <c r="I373" i="3"/>
  <c r="J373" i="3"/>
  <c r="K373" i="3"/>
  <c r="L373" i="3"/>
  <c r="H374" i="3"/>
  <c r="I374" i="3"/>
  <c r="J374" i="3"/>
  <c r="K374" i="3"/>
  <c r="L374" i="3"/>
  <c r="H375" i="3"/>
  <c r="I375" i="3"/>
  <c r="J375" i="3"/>
  <c r="K375" i="3"/>
  <c r="L375" i="3"/>
  <c r="H376" i="3"/>
  <c r="I376" i="3"/>
  <c r="J376" i="3"/>
  <c r="K376" i="3"/>
  <c r="L376" i="3"/>
  <c r="H377" i="3"/>
  <c r="I377" i="3"/>
  <c r="J377" i="3"/>
  <c r="K377" i="3"/>
  <c r="L377" i="3"/>
  <c r="H378" i="3"/>
  <c r="I378" i="3"/>
  <c r="J378" i="3"/>
  <c r="K378" i="3"/>
  <c r="L378" i="3"/>
  <c r="H379" i="3"/>
  <c r="I379" i="3"/>
  <c r="J379" i="3"/>
  <c r="K379" i="3"/>
  <c r="L379" i="3"/>
  <c r="H380" i="3"/>
  <c r="I380" i="3"/>
  <c r="J380" i="3"/>
  <c r="K380" i="3"/>
  <c r="L380" i="3"/>
  <c r="H381" i="3"/>
  <c r="I381" i="3"/>
  <c r="J381" i="3"/>
  <c r="K381" i="3"/>
  <c r="L381" i="3"/>
  <c r="H382" i="3"/>
  <c r="I382" i="3"/>
  <c r="J382" i="3"/>
  <c r="K382" i="3"/>
  <c r="L382" i="3"/>
  <c r="H383" i="3"/>
  <c r="I383" i="3"/>
  <c r="J383" i="3"/>
  <c r="K383" i="3"/>
  <c r="L383" i="3"/>
  <c r="H384" i="3"/>
  <c r="I384" i="3"/>
  <c r="J384" i="3"/>
  <c r="K384" i="3"/>
  <c r="L384" i="3"/>
  <c r="H385" i="3"/>
  <c r="I385" i="3"/>
  <c r="J385" i="3"/>
  <c r="K385" i="3"/>
  <c r="L385" i="3"/>
  <c r="H386" i="3"/>
  <c r="I386" i="3"/>
  <c r="J386" i="3"/>
  <c r="K386" i="3"/>
  <c r="L386" i="3"/>
  <c r="H387" i="3"/>
  <c r="I387" i="3"/>
  <c r="J387" i="3"/>
  <c r="K387" i="3"/>
  <c r="L387" i="3"/>
  <c r="H388" i="3"/>
  <c r="I388" i="3"/>
  <c r="J388" i="3"/>
  <c r="K388" i="3"/>
  <c r="L388" i="3"/>
  <c r="H389" i="3"/>
  <c r="I389" i="3"/>
  <c r="J389" i="3"/>
  <c r="K389" i="3"/>
  <c r="L389" i="3"/>
  <c r="H390" i="3"/>
  <c r="I390" i="3"/>
  <c r="J390" i="3"/>
  <c r="K390" i="3"/>
  <c r="L390" i="3"/>
  <c r="H391" i="3"/>
  <c r="I391" i="3"/>
  <c r="J391" i="3"/>
  <c r="K391" i="3"/>
  <c r="L391" i="3"/>
  <c r="H392" i="3"/>
  <c r="I392" i="3"/>
  <c r="J392" i="3"/>
  <c r="K392" i="3"/>
  <c r="L392" i="3"/>
  <c r="H393" i="3"/>
  <c r="I393" i="3"/>
  <c r="J393" i="3"/>
  <c r="K393" i="3"/>
  <c r="L393" i="3"/>
  <c r="H394" i="3"/>
  <c r="I394" i="3"/>
  <c r="J394" i="3"/>
  <c r="K394" i="3"/>
  <c r="L394" i="3"/>
  <c r="H395" i="3"/>
  <c r="I395" i="3"/>
  <c r="J395" i="3"/>
  <c r="K395" i="3"/>
  <c r="L395" i="3"/>
  <c r="H396" i="3"/>
  <c r="I396" i="3"/>
  <c r="J396" i="3"/>
  <c r="K396" i="3"/>
  <c r="L396" i="3"/>
  <c r="H397" i="3"/>
  <c r="I397" i="3"/>
  <c r="J397" i="3"/>
  <c r="K397" i="3"/>
  <c r="L397" i="3"/>
  <c r="H398" i="3"/>
  <c r="I398" i="3"/>
  <c r="J398" i="3"/>
  <c r="K398" i="3"/>
  <c r="L398" i="3"/>
  <c r="H399" i="3"/>
  <c r="I399" i="3"/>
  <c r="J399" i="3"/>
  <c r="K399" i="3"/>
  <c r="L399" i="3"/>
  <c r="H400" i="3"/>
  <c r="I400" i="3"/>
  <c r="J400" i="3"/>
  <c r="K400" i="3"/>
  <c r="L400" i="3"/>
  <c r="H401" i="3"/>
  <c r="I401" i="3"/>
  <c r="J401" i="3"/>
  <c r="K401" i="3"/>
  <c r="L401" i="3"/>
  <c r="H402" i="3"/>
  <c r="I402" i="3"/>
  <c r="J402" i="3"/>
  <c r="K402" i="3"/>
  <c r="L402" i="3"/>
  <c r="H403" i="3"/>
  <c r="I403" i="3"/>
  <c r="J403" i="3"/>
  <c r="K403" i="3"/>
  <c r="L403" i="3"/>
  <c r="H404" i="3"/>
  <c r="I404" i="3"/>
  <c r="J404" i="3"/>
  <c r="K404" i="3"/>
  <c r="L404" i="3"/>
  <c r="H405" i="3"/>
  <c r="I405" i="3"/>
  <c r="J405" i="3"/>
  <c r="K405" i="3"/>
  <c r="L405" i="3"/>
  <c r="H406" i="3"/>
  <c r="I406" i="3"/>
  <c r="J406" i="3"/>
  <c r="K406" i="3"/>
  <c r="L406" i="3"/>
  <c r="H407" i="3"/>
  <c r="I407" i="3"/>
  <c r="J407" i="3"/>
  <c r="K407" i="3"/>
  <c r="L407" i="3"/>
  <c r="H408" i="3"/>
  <c r="I408" i="3"/>
  <c r="J408" i="3"/>
  <c r="K408" i="3"/>
  <c r="L408" i="3"/>
  <c r="H409" i="3"/>
  <c r="I409" i="3"/>
  <c r="J409" i="3"/>
  <c r="K409" i="3"/>
  <c r="L409" i="3"/>
  <c r="H410" i="3"/>
  <c r="I410" i="3"/>
  <c r="J410" i="3"/>
  <c r="K410" i="3"/>
  <c r="L410" i="3"/>
  <c r="H411" i="3"/>
  <c r="I411" i="3"/>
  <c r="J411" i="3"/>
  <c r="K411" i="3"/>
  <c r="L411" i="3"/>
  <c r="H412" i="3"/>
  <c r="I412" i="3"/>
  <c r="J412" i="3"/>
  <c r="K412" i="3"/>
  <c r="L412" i="3"/>
  <c r="H413" i="3"/>
  <c r="I413" i="3"/>
  <c r="J413" i="3"/>
  <c r="K413" i="3"/>
  <c r="L413" i="3"/>
  <c r="H414" i="3"/>
  <c r="I414" i="3"/>
  <c r="J414" i="3"/>
  <c r="K414" i="3"/>
  <c r="L414" i="3"/>
  <c r="H415" i="3"/>
  <c r="I415" i="3"/>
  <c r="J415" i="3"/>
  <c r="K415" i="3"/>
  <c r="L415" i="3"/>
  <c r="H416" i="3"/>
  <c r="I416" i="3"/>
  <c r="J416" i="3"/>
  <c r="K416" i="3"/>
  <c r="L416" i="3"/>
  <c r="H417" i="3"/>
  <c r="I417" i="3"/>
  <c r="J417" i="3"/>
  <c r="K417" i="3"/>
  <c r="L417" i="3"/>
  <c r="H418" i="3"/>
  <c r="I418" i="3"/>
  <c r="J418" i="3"/>
  <c r="K418" i="3"/>
  <c r="L418" i="3"/>
  <c r="H419" i="3"/>
  <c r="I419" i="3"/>
  <c r="J419" i="3"/>
  <c r="K419" i="3"/>
  <c r="L419" i="3"/>
  <c r="H420" i="3"/>
  <c r="I420" i="3"/>
  <c r="J420" i="3"/>
  <c r="K420" i="3"/>
  <c r="L420" i="3"/>
  <c r="H421" i="3"/>
  <c r="I421" i="3"/>
  <c r="J421" i="3"/>
  <c r="K421" i="3"/>
  <c r="L421" i="3"/>
  <c r="H422" i="3"/>
  <c r="I422" i="3"/>
  <c r="J422" i="3"/>
  <c r="K422" i="3"/>
  <c r="L422" i="3"/>
  <c r="H423" i="3"/>
  <c r="I423" i="3"/>
  <c r="J423" i="3"/>
  <c r="K423" i="3"/>
  <c r="L423" i="3"/>
  <c r="H424" i="3"/>
  <c r="I424" i="3"/>
  <c r="J424" i="3"/>
  <c r="K424" i="3"/>
  <c r="L424" i="3"/>
  <c r="H425" i="3"/>
  <c r="I425" i="3"/>
  <c r="J425" i="3"/>
  <c r="K425" i="3"/>
  <c r="L425" i="3"/>
  <c r="H426" i="3"/>
  <c r="I426" i="3"/>
  <c r="J426" i="3"/>
  <c r="K426" i="3"/>
  <c r="L426" i="3"/>
  <c r="H427" i="3"/>
  <c r="I427" i="3"/>
  <c r="J427" i="3"/>
  <c r="K427" i="3"/>
  <c r="L427" i="3"/>
  <c r="H428" i="3"/>
  <c r="I428" i="3"/>
  <c r="J428" i="3"/>
  <c r="K428" i="3"/>
  <c r="L428" i="3"/>
  <c r="H429" i="3"/>
  <c r="I429" i="3"/>
  <c r="J429" i="3"/>
  <c r="K429" i="3"/>
  <c r="L429" i="3"/>
  <c r="H430" i="3"/>
  <c r="I430" i="3"/>
  <c r="J430" i="3"/>
  <c r="K430" i="3"/>
  <c r="L430" i="3"/>
  <c r="H431" i="3"/>
  <c r="I431" i="3"/>
  <c r="J431" i="3"/>
  <c r="K431" i="3"/>
  <c r="L431" i="3"/>
  <c r="H432" i="3"/>
  <c r="I432" i="3"/>
  <c r="J432" i="3"/>
  <c r="K432" i="3"/>
  <c r="L432" i="3"/>
  <c r="H433" i="3"/>
  <c r="I433" i="3"/>
  <c r="J433" i="3"/>
  <c r="K433" i="3"/>
  <c r="L433" i="3"/>
  <c r="H434" i="3"/>
  <c r="I434" i="3"/>
  <c r="J434" i="3"/>
  <c r="K434" i="3"/>
  <c r="L434" i="3"/>
  <c r="H435" i="3"/>
  <c r="I435" i="3"/>
  <c r="J435" i="3"/>
  <c r="K435" i="3"/>
  <c r="L435" i="3"/>
  <c r="H436" i="3"/>
  <c r="I436" i="3"/>
  <c r="J436" i="3"/>
  <c r="K436" i="3"/>
  <c r="L436" i="3"/>
  <c r="H437" i="3"/>
  <c r="I437" i="3"/>
  <c r="J437" i="3"/>
  <c r="K437" i="3"/>
  <c r="L437" i="3"/>
  <c r="H438" i="3"/>
  <c r="I438" i="3"/>
  <c r="J438" i="3"/>
  <c r="K438" i="3"/>
  <c r="L438" i="3"/>
  <c r="H439" i="3"/>
  <c r="I439" i="3"/>
  <c r="J439" i="3"/>
  <c r="K439" i="3"/>
  <c r="L439" i="3"/>
  <c r="H440" i="3"/>
  <c r="I440" i="3"/>
  <c r="J440" i="3"/>
  <c r="K440" i="3"/>
  <c r="L440" i="3"/>
  <c r="H441" i="3"/>
  <c r="I441" i="3"/>
  <c r="J441" i="3"/>
  <c r="K441" i="3"/>
  <c r="L441" i="3"/>
  <c r="H442" i="3"/>
  <c r="I442" i="3"/>
  <c r="J442" i="3"/>
  <c r="K442" i="3"/>
  <c r="L442" i="3"/>
  <c r="H443" i="3"/>
  <c r="I443" i="3"/>
  <c r="J443" i="3"/>
  <c r="K443" i="3"/>
  <c r="L443" i="3"/>
  <c r="H444" i="3"/>
  <c r="I444" i="3"/>
  <c r="J444" i="3"/>
  <c r="K444" i="3"/>
  <c r="L444" i="3"/>
  <c r="H445" i="3"/>
  <c r="I445" i="3"/>
  <c r="J445" i="3"/>
  <c r="K445" i="3"/>
  <c r="L445" i="3"/>
  <c r="H446" i="3"/>
  <c r="I446" i="3"/>
  <c r="J446" i="3"/>
  <c r="K446" i="3"/>
  <c r="L446" i="3"/>
  <c r="H447" i="3"/>
  <c r="I447" i="3"/>
  <c r="J447" i="3"/>
  <c r="K447" i="3"/>
  <c r="L447" i="3"/>
  <c r="H448" i="3"/>
  <c r="I448" i="3"/>
  <c r="J448" i="3"/>
  <c r="K448" i="3"/>
  <c r="L448" i="3"/>
  <c r="H449" i="3"/>
  <c r="I449" i="3"/>
  <c r="J449" i="3"/>
  <c r="K449" i="3"/>
  <c r="L449" i="3"/>
  <c r="H450" i="3"/>
  <c r="I450" i="3"/>
  <c r="J450" i="3"/>
  <c r="K450" i="3"/>
  <c r="L450" i="3"/>
  <c r="H451" i="3"/>
  <c r="I451" i="3"/>
  <c r="J451" i="3"/>
  <c r="K451" i="3"/>
  <c r="L451" i="3"/>
  <c r="H452" i="3"/>
  <c r="I452" i="3"/>
  <c r="J452" i="3"/>
  <c r="K452" i="3"/>
  <c r="L452" i="3"/>
  <c r="H453" i="3"/>
  <c r="I453" i="3"/>
  <c r="J453" i="3"/>
  <c r="K453" i="3"/>
  <c r="L453" i="3"/>
  <c r="H454" i="3"/>
  <c r="I454" i="3"/>
  <c r="J454" i="3"/>
  <c r="K454" i="3"/>
  <c r="L454" i="3"/>
  <c r="H455" i="3"/>
  <c r="I455" i="3"/>
  <c r="J455" i="3"/>
  <c r="K455" i="3"/>
  <c r="L455" i="3"/>
  <c r="H456" i="3"/>
  <c r="I456" i="3"/>
  <c r="J456" i="3"/>
  <c r="K456" i="3"/>
  <c r="L456" i="3"/>
  <c r="H457" i="3"/>
  <c r="I457" i="3"/>
  <c r="J457" i="3"/>
  <c r="K457" i="3"/>
  <c r="L457" i="3"/>
  <c r="H458" i="3"/>
  <c r="I458" i="3"/>
  <c r="J458" i="3"/>
  <c r="K458" i="3"/>
  <c r="L458" i="3"/>
  <c r="H459" i="3"/>
  <c r="I459" i="3"/>
  <c r="J459" i="3"/>
  <c r="K459" i="3"/>
  <c r="L459" i="3"/>
  <c r="H460" i="3"/>
  <c r="I460" i="3"/>
  <c r="J460" i="3"/>
  <c r="K460" i="3"/>
  <c r="L460" i="3"/>
  <c r="H461" i="3"/>
  <c r="I461" i="3"/>
  <c r="J461" i="3"/>
  <c r="K461" i="3"/>
  <c r="L461" i="3"/>
  <c r="H462" i="3"/>
  <c r="I462" i="3"/>
  <c r="J462" i="3"/>
  <c r="K462" i="3"/>
  <c r="L462" i="3"/>
  <c r="H463" i="3"/>
  <c r="I463" i="3"/>
  <c r="J463" i="3"/>
  <c r="K463" i="3"/>
  <c r="L463" i="3"/>
  <c r="H464" i="3"/>
  <c r="I464" i="3"/>
  <c r="J464" i="3"/>
  <c r="K464" i="3"/>
  <c r="L464" i="3"/>
  <c r="H465" i="3"/>
  <c r="I465" i="3"/>
  <c r="J465" i="3"/>
  <c r="K465" i="3"/>
  <c r="L465" i="3"/>
  <c r="H466" i="3"/>
  <c r="I466" i="3"/>
  <c r="J466" i="3"/>
  <c r="K466" i="3"/>
  <c r="L466" i="3"/>
  <c r="H467" i="3"/>
  <c r="I467" i="3"/>
  <c r="J467" i="3"/>
  <c r="K467" i="3"/>
  <c r="L467" i="3"/>
  <c r="H468" i="3"/>
  <c r="I468" i="3"/>
  <c r="J468" i="3"/>
  <c r="K468" i="3"/>
  <c r="L468" i="3"/>
  <c r="H469" i="3"/>
  <c r="I469" i="3"/>
  <c r="J469" i="3"/>
  <c r="K469" i="3"/>
  <c r="L469" i="3"/>
  <c r="H470" i="3"/>
  <c r="I470" i="3"/>
  <c r="J470" i="3"/>
  <c r="K470" i="3"/>
  <c r="L470" i="3"/>
  <c r="H471" i="3"/>
  <c r="I471" i="3"/>
  <c r="J471" i="3"/>
  <c r="K471" i="3"/>
  <c r="L471" i="3"/>
  <c r="H472" i="3"/>
  <c r="I472" i="3"/>
  <c r="J472" i="3"/>
  <c r="K472" i="3"/>
  <c r="L472" i="3"/>
  <c r="H473" i="3"/>
  <c r="I473" i="3"/>
  <c r="J473" i="3"/>
  <c r="K473" i="3"/>
  <c r="L473" i="3"/>
  <c r="H474" i="3"/>
  <c r="I474" i="3"/>
  <c r="J474" i="3"/>
  <c r="K474" i="3"/>
  <c r="L474" i="3"/>
  <c r="H475" i="3"/>
  <c r="I475" i="3"/>
  <c r="J475" i="3"/>
  <c r="K475" i="3"/>
  <c r="L475" i="3"/>
  <c r="H476" i="3"/>
  <c r="I476" i="3"/>
  <c r="J476" i="3"/>
  <c r="K476" i="3"/>
  <c r="L476" i="3"/>
  <c r="H477" i="3"/>
  <c r="I477" i="3"/>
  <c r="J477" i="3"/>
  <c r="K477" i="3"/>
  <c r="L477" i="3"/>
  <c r="H478" i="3"/>
  <c r="I478" i="3"/>
  <c r="J478" i="3"/>
  <c r="K478" i="3"/>
  <c r="L478" i="3"/>
  <c r="H479" i="3"/>
  <c r="I479" i="3"/>
  <c r="J479" i="3"/>
  <c r="K479" i="3"/>
  <c r="L479" i="3"/>
  <c r="H480" i="3"/>
  <c r="I480" i="3"/>
  <c r="J480" i="3"/>
  <c r="K480" i="3"/>
  <c r="L480" i="3"/>
  <c r="H481" i="3"/>
  <c r="I481" i="3"/>
  <c r="J481" i="3"/>
  <c r="K481" i="3"/>
  <c r="L481" i="3"/>
  <c r="H482" i="3"/>
  <c r="I482" i="3"/>
  <c r="J482" i="3"/>
  <c r="K482" i="3"/>
  <c r="L482" i="3"/>
  <c r="H483" i="3"/>
  <c r="I483" i="3"/>
  <c r="J483" i="3"/>
  <c r="K483" i="3"/>
  <c r="L483" i="3"/>
  <c r="H484" i="3"/>
  <c r="I484" i="3"/>
  <c r="J484" i="3"/>
  <c r="K484" i="3"/>
  <c r="L484" i="3"/>
  <c r="H485" i="3"/>
  <c r="I485" i="3"/>
  <c r="J485" i="3"/>
  <c r="K485" i="3"/>
  <c r="L485" i="3"/>
  <c r="H486" i="3"/>
  <c r="I486" i="3"/>
  <c r="J486" i="3"/>
  <c r="K486" i="3"/>
  <c r="L486" i="3"/>
  <c r="H487" i="3"/>
  <c r="I487" i="3"/>
  <c r="J487" i="3"/>
  <c r="K487" i="3"/>
  <c r="L487" i="3"/>
  <c r="H488" i="3"/>
  <c r="I488" i="3"/>
  <c r="J488" i="3"/>
  <c r="K488" i="3"/>
  <c r="L488" i="3"/>
  <c r="H489" i="3"/>
  <c r="I489" i="3"/>
  <c r="J489" i="3"/>
  <c r="K489" i="3"/>
  <c r="L489" i="3"/>
  <c r="H490" i="3"/>
  <c r="I490" i="3"/>
  <c r="J490" i="3"/>
  <c r="K490" i="3"/>
  <c r="L490" i="3"/>
  <c r="H491" i="3"/>
  <c r="I491" i="3"/>
  <c r="J491" i="3"/>
  <c r="K491" i="3"/>
  <c r="L491" i="3"/>
  <c r="H492" i="3"/>
  <c r="I492" i="3"/>
  <c r="J492" i="3"/>
  <c r="K492" i="3"/>
  <c r="L492" i="3"/>
  <c r="H493" i="3"/>
  <c r="I493" i="3"/>
  <c r="J493" i="3"/>
  <c r="K493" i="3"/>
  <c r="L493" i="3"/>
  <c r="H494" i="3"/>
  <c r="I494" i="3"/>
  <c r="J494" i="3"/>
  <c r="K494" i="3"/>
  <c r="L494" i="3"/>
  <c r="H495" i="3"/>
  <c r="I495" i="3"/>
  <c r="J495" i="3"/>
  <c r="K495" i="3"/>
  <c r="L495" i="3"/>
  <c r="H496" i="3"/>
  <c r="I496" i="3"/>
  <c r="J496" i="3"/>
  <c r="K496" i="3"/>
  <c r="L496" i="3"/>
  <c r="H497" i="3"/>
  <c r="I497" i="3"/>
  <c r="J497" i="3"/>
  <c r="K497" i="3"/>
  <c r="L497" i="3"/>
  <c r="H498" i="3"/>
  <c r="I498" i="3"/>
  <c r="J498" i="3"/>
  <c r="K498" i="3"/>
  <c r="L498" i="3"/>
  <c r="H499" i="3"/>
  <c r="I499" i="3"/>
  <c r="J499" i="3"/>
  <c r="K499" i="3"/>
  <c r="L499" i="3"/>
  <c r="H500" i="3"/>
  <c r="I500" i="3"/>
  <c r="J500" i="3"/>
  <c r="K500" i="3"/>
  <c r="L500" i="3"/>
  <c r="H501" i="3"/>
  <c r="I501" i="3"/>
  <c r="J501" i="3"/>
  <c r="K501" i="3"/>
  <c r="L501" i="3"/>
  <c r="H502" i="3"/>
  <c r="I502" i="3"/>
  <c r="J502" i="3"/>
  <c r="K502" i="3"/>
  <c r="L502" i="3"/>
  <c r="H503" i="3"/>
  <c r="I503" i="3"/>
  <c r="J503" i="3"/>
  <c r="K503" i="3"/>
  <c r="L503" i="3"/>
  <c r="H504" i="3"/>
  <c r="I504" i="3"/>
  <c r="J504" i="3"/>
  <c r="K504" i="3"/>
  <c r="L504" i="3"/>
  <c r="H505" i="3"/>
  <c r="I505" i="3"/>
  <c r="J505" i="3"/>
  <c r="K505" i="3"/>
  <c r="L505" i="3"/>
  <c r="H506" i="3"/>
  <c r="I506" i="3"/>
  <c r="J506" i="3"/>
  <c r="K506" i="3"/>
  <c r="L506" i="3"/>
  <c r="H507" i="3"/>
  <c r="I507" i="3"/>
  <c r="J507" i="3"/>
  <c r="K507" i="3"/>
  <c r="L507" i="3"/>
  <c r="H508" i="3"/>
  <c r="I508" i="3"/>
  <c r="J508" i="3"/>
  <c r="K508" i="3"/>
  <c r="L508" i="3"/>
  <c r="H509" i="3"/>
  <c r="I509" i="3"/>
  <c r="J509" i="3"/>
  <c r="K509" i="3"/>
  <c r="L509" i="3"/>
  <c r="H510" i="3"/>
  <c r="I510" i="3"/>
  <c r="J510" i="3"/>
  <c r="K510" i="3"/>
  <c r="L510" i="3"/>
  <c r="H511" i="3"/>
  <c r="I511" i="3"/>
  <c r="J511" i="3"/>
  <c r="K511" i="3"/>
  <c r="L511" i="3"/>
  <c r="H512" i="3"/>
  <c r="I512" i="3"/>
  <c r="J512" i="3"/>
  <c r="K512" i="3"/>
  <c r="L512" i="3"/>
  <c r="H513" i="3"/>
  <c r="I513" i="3"/>
  <c r="J513" i="3"/>
  <c r="K513" i="3"/>
  <c r="L513" i="3"/>
  <c r="H514" i="3"/>
  <c r="I514" i="3"/>
  <c r="J514" i="3"/>
  <c r="K514" i="3"/>
  <c r="L514" i="3"/>
  <c r="H515" i="3"/>
  <c r="I515" i="3"/>
  <c r="J515" i="3"/>
  <c r="K515" i="3"/>
  <c r="L515" i="3"/>
  <c r="H516" i="3"/>
  <c r="I516" i="3"/>
  <c r="J516" i="3"/>
  <c r="K516" i="3"/>
  <c r="L516" i="3"/>
  <c r="H517" i="3"/>
  <c r="I517" i="3"/>
  <c r="J517" i="3"/>
  <c r="K517" i="3"/>
  <c r="L517" i="3"/>
  <c r="H518" i="3"/>
  <c r="I518" i="3"/>
  <c r="J518" i="3"/>
  <c r="K518" i="3"/>
  <c r="L518" i="3"/>
  <c r="H519" i="3"/>
  <c r="I519" i="3"/>
  <c r="J519" i="3"/>
  <c r="K519" i="3"/>
  <c r="L519" i="3"/>
  <c r="H520" i="3"/>
  <c r="I520" i="3"/>
  <c r="J520" i="3"/>
  <c r="K520" i="3"/>
  <c r="L520" i="3"/>
  <c r="H521" i="3"/>
  <c r="I521" i="3"/>
  <c r="J521" i="3"/>
  <c r="K521" i="3"/>
  <c r="L521" i="3"/>
  <c r="H522" i="3"/>
  <c r="I522" i="3"/>
  <c r="J522" i="3"/>
  <c r="K522" i="3"/>
  <c r="L522" i="3"/>
  <c r="H523" i="3"/>
  <c r="I523" i="3"/>
  <c r="J523" i="3"/>
  <c r="K523" i="3"/>
  <c r="L523" i="3"/>
  <c r="H524" i="3"/>
  <c r="I524" i="3"/>
  <c r="J524" i="3"/>
  <c r="K524" i="3"/>
  <c r="L524" i="3"/>
  <c r="H525" i="3"/>
  <c r="I525" i="3"/>
  <c r="J525" i="3"/>
  <c r="K525" i="3"/>
  <c r="L525" i="3"/>
  <c r="H526" i="3"/>
  <c r="I526" i="3"/>
  <c r="J526" i="3"/>
  <c r="K526" i="3"/>
  <c r="L526" i="3"/>
  <c r="H527" i="3"/>
  <c r="I527" i="3"/>
  <c r="J527" i="3"/>
  <c r="K527" i="3"/>
  <c r="L527" i="3"/>
  <c r="H528" i="3"/>
  <c r="I528" i="3"/>
  <c r="J528" i="3"/>
  <c r="K528" i="3"/>
  <c r="L528" i="3"/>
  <c r="H529" i="3"/>
  <c r="I529" i="3"/>
  <c r="J529" i="3"/>
  <c r="K529" i="3"/>
  <c r="L529" i="3"/>
  <c r="H530" i="3"/>
  <c r="I530" i="3"/>
  <c r="J530" i="3"/>
  <c r="K530" i="3"/>
  <c r="L530" i="3"/>
  <c r="H531" i="3"/>
  <c r="I531" i="3"/>
  <c r="J531" i="3"/>
  <c r="K531" i="3"/>
  <c r="L531" i="3"/>
  <c r="H532" i="3"/>
  <c r="I532" i="3"/>
  <c r="J532" i="3"/>
  <c r="K532" i="3"/>
  <c r="L532" i="3"/>
  <c r="H533" i="3"/>
  <c r="I533" i="3"/>
  <c r="J533" i="3"/>
  <c r="K533" i="3"/>
  <c r="L533" i="3"/>
  <c r="H534" i="3"/>
  <c r="I534" i="3"/>
  <c r="J534" i="3"/>
  <c r="K534" i="3"/>
  <c r="L534" i="3"/>
  <c r="H535" i="3"/>
  <c r="I535" i="3"/>
  <c r="J535" i="3"/>
  <c r="K535" i="3"/>
  <c r="L535" i="3"/>
  <c r="H536" i="3"/>
  <c r="I536" i="3"/>
  <c r="J536" i="3"/>
  <c r="K536" i="3"/>
  <c r="L536" i="3"/>
  <c r="H537" i="3"/>
  <c r="I537" i="3"/>
  <c r="J537" i="3"/>
  <c r="K537" i="3"/>
  <c r="L537" i="3"/>
  <c r="H538" i="3"/>
  <c r="I538" i="3"/>
  <c r="J538" i="3"/>
  <c r="K538" i="3"/>
  <c r="L538" i="3"/>
  <c r="H539" i="3"/>
  <c r="I539" i="3"/>
  <c r="J539" i="3"/>
  <c r="K539" i="3"/>
  <c r="L539" i="3"/>
  <c r="H540" i="3"/>
  <c r="I540" i="3"/>
  <c r="J540" i="3"/>
  <c r="K540" i="3"/>
  <c r="L540" i="3"/>
  <c r="H541" i="3"/>
  <c r="I541" i="3"/>
  <c r="J541" i="3"/>
  <c r="K541" i="3"/>
  <c r="L541" i="3"/>
  <c r="H542" i="3"/>
  <c r="I542" i="3"/>
  <c r="J542" i="3"/>
  <c r="K542" i="3"/>
  <c r="L542" i="3"/>
  <c r="H543" i="3"/>
  <c r="I543" i="3"/>
  <c r="J543" i="3"/>
  <c r="K543" i="3"/>
  <c r="L543" i="3"/>
  <c r="H544" i="3"/>
  <c r="I544" i="3"/>
  <c r="J544" i="3"/>
  <c r="K544" i="3"/>
  <c r="L544" i="3"/>
  <c r="H545" i="3"/>
  <c r="I545" i="3"/>
  <c r="J545" i="3"/>
  <c r="K545" i="3"/>
  <c r="L545" i="3"/>
  <c r="H546" i="3"/>
  <c r="I546" i="3"/>
  <c r="J546" i="3"/>
  <c r="K546" i="3"/>
  <c r="L546" i="3"/>
  <c r="H547" i="3"/>
  <c r="I547" i="3"/>
  <c r="J547" i="3"/>
  <c r="K547" i="3"/>
  <c r="L547" i="3"/>
  <c r="H548" i="3"/>
  <c r="I548" i="3"/>
  <c r="J548" i="3"/>
  <c r="K548" i="3"/>
  <c r="L548" i="3"/>
  <c r="H549" i="3"/>
  <c r="I549" i="3"/>
  <c r="J549" i="3"/>
  <c r="K549" i="3"/>
  <c r="L549" i="3"/>
  <c r="H550" i="3"/>
  <c r="I550" i="3"/>
  <c r="J550" i="3"/>
  <c r="K550" i="3"/>
  <c r="L550" i="3"/>
  <c r="H551" i="3"/>
  <c r="I551" i="3"/>
  <c r="J551" i="3"/>
  <c r="K551" i="3"/>
  <c r="L551" i="3"/>
  <c r="H552" i="3"/>
  <c r="I552" i="3"/>
  <c r="J552" i="3"/>
  <c r="K552" i="3"/>
  <c r="L552" i="3"/>
  <c r="H553" i="3"/>
  <c r="I553" i="3"/>
  <c r="J553" i="3"/>
  <c r="K553" i="3"/>
  <c r="L553" i="3"/>
  <c r="H554" i="3"/>
  <c r="I554" i="3"/>
  <c r="J554" i="3"/>
  <c r="K554" i="3"/>
  <c r="L554" i="3"/>
  <c r="H555" i="3"/>
  <c r="I555" i="3"/>
  <c r="J555" i="3"/>
  <c r="K555" i="3"/>
  <c r="L555" i="3"/>
  <c r="H556" i="3"/>
  <c r="I556" i="3"/>
  <c r="J556" i="3"/>
  <c r="K556" i="3"/>
  <c r="L556" i="3"/>
  <c r="H557" i="3"/>
  <c r="I557" i="3"/>
  <c r="J557" i="3"/>
  <c r="K557" i="3"/>
  <c r="L557" i="3"/>
  <c r="H558" i="3"/>
  <c r="I558" i="3"/>
  <c r="J558" i="3"/>
  <c r="K558" i="3"/>
  <c r="L558" i="3"/>
  <c r="H559" i="3"/>
  <c r="I559" i="3"/>
  <c r="J559" i="3"/>
  <c r="K559" i="3"/>
  <c r="L559" i="3"/>
  <c r="H560" i="3"/>
  <c r="I560" i="3"/>
  <c r="J560" i="3"/>
  <c r="K560" i="3"/>
  <c r="L560" i="3"/>
  <c r="H561" i="3"/>
  <c r="I561" i="3"/>
  <c r="J561" i="3"/>
  <c r="K561" i="3"/>
  <c r="L561" i="3"/>
  <c r="H562" i="3"/>
  <c r="I562" i="3"/>
  <c r="J562" i="3"/>
  <c r="K562" i="3"/>
  <c r="L562" i="3"/>
  <c r="H563" i="3"/>
  <c r="I563" i="3"/>
  <c r="J563" i="3"/>
  <c r="K563" i="3"/>
  <c r="L563" i="3"/>
  <c r="H564" i="3"/>
  <c r="I564" i="3"/>
  <c r="J564" i="3"/>
  <c r="K564" i="3"/>
  <c r="L564" i="3"/>
  <c r="H565" i="3"/>
  <c r="I565" i="3"/>
  <c r="J565" i="3"/>
  <c r="K565" i="3"/>
  <c r="L565" i="3"/>
  <c r="H566" i="3"/>
  <c r="I566" i="3"/>
  <c r="J566" i="3"/>
  <c r="K566" i="3"/>
  <c r="L566" i="3"/>
  <c r="H567" i="3"/>
  <c r="I567" i="3"/>
  <c r="J567" i="3"/>
  <c r="K567" i="3"/>
  <c r="L567" i="3"/>
  <c r="H568" i="3"/>
  <c r="I568" i="3"/>
  <c r="J568" i="3"/>
  <c r="K568" i="3"/>
  <c r="L568" i="3"/>
  <c r="H569" i="3"/>
  <c r="I569" i="3"/>
  <c r="J569" i="3"/>
  <c r="K569" i="3"/>
  <c r="L569" i="3"/>
  <c r="L2" i="3"/>
  <c r="K2" i="3"/>
  <c r="J2" i="3"/>
  <c r="I2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2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3" i="3"/>
  <c r="F2" i="3"/>
  <c r="C18" i="1" l="1"/>
  <c r="B18" i="1"/>
  <c r="A18" i="1"/>
  <c r="J2" i="1" l="1"/>
  <c r="K2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3" i="1"/>
  <c r="H2" i="1"/>
</calcChain>
</file>

<file path=xl/sharedStrings.xml><?xml version="1.0" encoding="utf-8"?>
<sst xmlns="http://schemas.openxmlformats.org/spreadsheetml/2006/main" count="1283" uniqueCount="70">
  <si>
    <t>The Story of my Experiments with Truth</t>
  </si>
  <si>
    <t>Glimpses of World History</t>
  </si>
  <si>
    <t>A Guide to Health</t>
  </si>
  <si>
    <t>Wings of Fire</t>
  </si>
  <si>
    <t>Jawaharlal Nehru</t>
  </si>
  <si>
    <t>Mahatma Gandhi</t>
  </si>
  <si>
    <t>Book Name</t>
  </si>
  <si>
    <t>Authors</t>
  </si>
  <si>
    <t>Published Year</t>
  </si>
  <si>
    <t>Margin</t>
  </si>
  <si>
    <t>The Discovery of India</t>
  </si>
  <si>
    <t>APJ Abdul Kalam,
Arun Tiwari</t>
  </si>
  <si>
    <t>Purchase Price</t>
  </si>
  <si>
    <t>Book Type</t>
  </si>
  <si>
    <t>Hard Cover</t>
  </si>
  <si>
    <t>Soft Cover</t>
  </si>
  <si>
    <t>e-book</t>
  </si>
  <si>
    <t>Product ID</t>
  </si>
  <si>
    <t>Employee Name</t>
  </si>
  <si>
    <t>D. Rahul</t>
  </si>
  <si>
    <t>M. Nisha</t>
  </si>
  <si>
    <t>A. Anjali</t>
  </si>
  <si>
    <t>S. Arjun</t>
  </si>
  <si>
    <t>T. Sachin</t>
  </si>
  <si>
    <t>K. Ahmed</t>
  </si>
  <si>
    <t>N. Khan</t>
  </si>
  <si>
    <t>G. Michael</t>
  </si>
  <si>
    <t>Selling Price</t>
  </si>
  <si>
    <t>Order Date</t>
  </si>
  <si>
    <t>Customer Name</t>
  </si>
  <si>
    <t>PRODUCT ID</t>
  </si>
  <si>
    <t>Order Location</t>
  </si>
  <si>
    <t>Quantity</t>
  </si>
  <si>
    <t>Prabhat Co.</t>
  </si>
  <si>
    <t>Store</t>
  </si>
  <si>
    <t>Himtech Corporation</t>
  </si>
  <si>
    <t>New Light Co.</t>
  </si>
  <si>
    <t>Anand Co.</t>
  </si>
  <si>
    <t>Website</t>
  </si>
  <si>
    <t>Bajaj Co.</t>
  </si>
  <si>
    <t>Kalyani Distributors</t>
  </si>
  <si>
    <t>Ajay Co.</t>
  </si>
  <si>
    <t>Sohan's Co.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</si>
  <si>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</si>
  <si>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</si>
  <si>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</si>
  <si>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</si>
  <si>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</si>
  <si>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</si>
  <si>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</si>
  <si>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</si>
  <si>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</si>
  <si>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</si>
  <si>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</si>
  <si>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</si>
  <si>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Hourly Salary</t>
  </si>
  <si>
    <t>SALES</t>
  </si>
  <si>
    <t>Month</t>
  </si>
  <si>
    <t>Sales</t>
  </si>
  <si>
    <t>Purchase Cost</t>
  </si>
  <si>
    <t>MONTH</t>
  </si>
  <si>
    <t>MONTH NUM</t>
  </si>
  <si>
    <t>BOOK TYPE</t>
  </si>
  <si>
    <t>QUANTITY</t>
  </si>
  <si>
    <t>PURCHASE COST</t>
  </si>
  <si>
    <t>PROFIT</t>
  </si>
  <si>
    <t>BOOK NAME</t>
  </si>
  <si>
    <t>The Story of My Experiments with Truth</t>
  </si>
  <si>
    <t>CUSTOMER</t>
  </si>
  <si>
    <t>ORDER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</si>
</sst>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₹-4009]\ #,##0.00"/>
    <numFmt numFmtId="165" formatCode="0.0%"/>
    <numFmt numFmtId="166" formatCode="[$-409]d\-mmm;@"/>
    <numFmt numFmtId="167" formatCode="_ [$₹-4009]\ * #,##0_ ;_ [$₹-4009]\ * \-#,##0_ ;_ [$₹-4009]\ * &quot;-&quot;??_ ;_ @_ "/>
    <numFmt numFmtId="168" formatCode="_(* #,##0_);_(* \(#,##0\);_(* &quot;-&quot;??_);_(@_)"/>
    <numFmt numFmtId="173" formatCode="[$₹-4009]\ 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 style="thick">
        <color auto="1"/>
      </left>
      <right style="thin">
        <color auto="1"/>
      </right>
      <top style="thick">
        <color theme="3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theme="3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theme="3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9">
    <xf numFmtId="0" fontId="0" fillId="0" borderId="0" xfId="0"/>
    <xf numFmtId="0" fontId="0" fillId="0" borderId="6" xfId="0" applyBorder="1"/>
    <xf numFmtId="164" fontId="0" fillId="0" borderId="6" xfId="0" applyNumberFormat="1" applyBorder="1"/>
    <xf numFmtId="165" fontId="0" fillId="0" borderId="7" xfId="0" applyNumberFormat="1" applyBorder="1"/>
    <xf numFmtId="0" fontId="0" fillId="0" borderId="8" xfId="0" applyBorder="1"/>
    <xf numFmtId="0" fontId="0" fillId="0" borderId="1" xfId="0" applyBorder="1"/>
    <xf numFmtId="164" fontId="0" fillId="0" borderId="1" xfId="0" applyNumberFormat="1" applyBorder="1"/>
    <xf numFmtId="165" fontId="0" fillId="0" borderId="9" xfId="0" applyNumberFormat="1" applyBorder="1"/>
    <xf numFmtId="0" fontId="0" fillId="0" borderId="10" xfId="0" applyBorder="1"/>
    <xf numFmtId="164" fontId="0" fillId="0" borderId="11" xfId="0" applyNumberFormat="1" applyBorder="1"/>
    <xf numFmtId="165" fontId="0" fillId="0" borderId="12" xfId="0" applyNumberForma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1" xfId="0" applyBorder="1" applyAlignment="1"/>
    <xf numFmtId="0" fontId="0" fillId="0" borderId="1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/>
    <xf numFmtId="0" fontId="0" fillId="0" borderId="1" xfId="0" applyFill="1" applyBorder="1"/>
    <xf numFmtId="0" fontId="0" fillId="0" borderId="11" xfId="0" applyFill="1" applyBorder="1" applyAlignment="1"/>
    <xf numFmtId="0" fontId="0" fillId="0" borderId="11" xfId="0" applyFill="1" applyBorder="1"/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1" xfId="0" applyBorder="1"/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1" fillId="2" borderId="0" xfId="0" applyFont="1" applyFill="1" applyBorder="1"/>
    <xf numFmtId="9" fontId="0" fillId="0" borderId="0" xfId="0" applyNumberFormat="1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9" fontId="0" fillId="0" borderId="0" xfId="1" applyFont="1"/>
    <xf numFmtId="0" fontId="0" fillId="3" borderId="1" xfId="0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0" fontId="3" fillId="0" borderId="0" xfId="0" applyFont="1" applyAlignment="1">
      <alignment horizontal="right"/>
    </xf>
    <xf numFmtId="166" fontId="0" fillId="3" borderId="0" xfId="0" applyNumberFormat="1" applyFill="1" applyBorder="1" applyAlignment="1">
      <alignment horizontal="center"/>
    </xf>
    <xf numFmtId="167" fontId="0" fillId="0" borderId="1" xfId="0" applyNumberFormat="1" applyBorder="1"/>
    <xf numFmtId="167" fontId="0" fillId="0" borderId="0" xfId="0" applyNumberFormat="1"/>
    <xf numFmtId="167" fontId="0" fillId="0" borderId="13" xfId="0" applyNumberFormat="1" applyFill="1" applyBorder="1"/>
    <xf numFmtId="168" fontId="0" fillId="0" borderId="13" xfId="2" applyNumberFormat="1" applyFont="1" applyFill="1" applyBorder="1"/>
    <xf numFmtId="0" fontId="0" fillId="0" borderId="0" xfId="0"/>
    <xf numFmtId="0" fontId="3" fillId="0" borderId="0" xfId="0" applyFont="1"/>
    <xf numFmtId="173" fontId="0" fillId="0" borderId="0" xfId="0" applyNumberFormat="1"/>
    <xf numFmtId="0" fontId="3" fillId="0" borderId="0" xfId="0" applyFont="1" applyAlignment="1">
      <alignment horizontal="center"/>
    </xf>
    <xf numFmtId="0" fontId="0" fillId="0" borderId="1" xfId="0" applyBorder="1"/>
    <xf numFmtId="173" fontId="0" fillId="0" borderId="1" xfId="0" applyNumberFormat="1" applyBorder="1"/>
    <xf numFmtId="0" fontId="0" fillId="0" borderId="1" xfId="0" applyBorder="1"/>
    <xf numFmtId="173" fontId="0" fillId="0" borderId="1" xfId="0" applyNumberFormat="1" applyBorder="1"/>
    <xf numFmtId="0" fontId="0" fillId="0" borderId="1" xfId="2" applyNumberFormat="1" applyFont="1" applyBorder="1"/>
    <xf numFmtId="0" fontId="3" fillId="0" borderId="1" xfId="0" applyFont="1" applyBorder="1"/>
    <xf numFmtId="0" fontId="3" fillId="0" borderId="15" xfId="0" applyFont="1" applyBorder="1"/>
    <xf numFmtId="0" fontId="3" fillId="0" borderId="15" xfId="0" applyFont="1" applyFill="1" applyBorder="1"/>
    <xf numFmtId="0" fontId="0" fillId="0" borderId="1" xfId="0" applyBorder="1"/>
    <xf numFmtId="173" fontId="0" fillId="0" borderId="14" xfId="0" applyNumberFormat="1" applyBorder="1"/>
    <xf numFmtId="0" fontId="0" fillId="0" borderId="1" xfId="0" applyBorder="1"/>
    <xf numFmtId="173" fontId="0" fillId="0" borderId="1" xfId="0" applyNumberFormat="1" applyBorder="1"/>
    <xf numFmtId="0" fontId="0" fillId="0" borderId="1" xfId="0" applyBorder="1"/>
    <xf numFmtId="173" fontId="0" fillId="0" borderId="1" xfId="0" applyNumberFormat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="150" zoomScaleNormal="150" workbookViewId="0">
      <selection activeCell="A2" sqref="A2:H16"/>
    </sheetView>
  </sheetViews>
  <sheetFormatPr defaultRowHeight="15" x14ac:dyDescent="0.25"/>
  <cols>
    <col min="1" max="1" width="10.28515625" customWidth="1"/>
    <col min="2" max="2" width="36.7109375" bestFit="1" customWidth="1"/>
    <col min="3" max="3" width="16.42578125" bestFit="1" customWidth="1"/>
    <col min="4" max="4" width="10.7109375" bestFit="1" customWidth="1"/>
    <col min="5" max="5" width="15.28515625" bestFit="1" customWidth="1"/>
    <col min="6" max="6" width="14" bestFit="1" customWidth="1"/>
    <col min="7" max="7" width="15.85546875" bestFit="1" customWidth="1"/>
    <col min="8" max="8" width="11.7109375" customWidth="1"/>
    <col min="9" max="11" width="9.7109375" bestFit="1" customWidth="1"/>
  </cols>
  <sheetData>
    <row r="1" spans="1:11" ht="16.5" thickTop="1" thickBot="1" x14ac:dyDescent="0.3">
      <c r="A1" s="11" t="s">
        <v>17</v>
      </c>
      <c r="B1" s="12" t="s">
        <v>6</v>
      </c>
      <c r="C1" s="12" t="s">
        <v>7</v>
      </c>
      <c r="D1" s="12" t="s">
        <v>13</v>
      </c>
      <c r="E1" s="12" t="s">
        <v>8</v>
      </c>
      <c r="F1" s="12" t="s">
        <v>12</v>
      </c>
      <c r="G1" s="13" t="s">
        <v>9</v>
      </c>
      <c r="H1" s="27" t="s">
        <v>27</v>
      </c>
      <c r="I1" s="28">
        <v>0.3</v>
      </c>
      <c r="J1" s="28">
        <v>0.5</v>
      </c>
      <c r="K1" s="28">
        <v>0.7</v>
      </c>
    </row>
    <row r="2" spans="1:11" ht="15.75" thickTop="1" x14ac:dyDescent="0.25">
      <c r="A2" s="21">
        <v>1</v>
      </c>
      <c r="B2" s="22" t="s">
        <v>10</v>
      </c>
      <c r="C2" s="1" t="s">
        <v>4</v>
      </c>
      <c r="D2" s="1" t="s">
        <v>14</v>
      </c>
      <c r="E2" s="1">
        <v>1946</v>
      </c>
      <c r="F2" s="2">
        <v>599.95000000000005</v>
      </c>
      <c r="G2" s="3">
        <v>0.3</v>
      </c>
      <c r="H2" s="6">
        <f>F2+(G2*F2)</f>
        <v>779.93500000000006</v>
      </c>
      <c r="I2" s="29">
        <f>$F2+($F2*I$1)</f>
        <v>779.93500000000006</v>
      </c>
      <c r="J2" s="29">
        <f t="shared" ref="J2:K2" si="0">$F2+($F2*J$1)</f>
        <v>899.92500000000007</v>
      </c>
      <c r="K2" s="29">
        <f t="shared" si="0"/>
        <v>1019.9150000000001</v>
      </c>
    </row>
    <row r="3" spans="1:11" x14ac:dyDescent="0.25">
      <c r="A3" s="4">
        <v>2</v>
      </c>
      <c r="B3" s="5" t="s">
        <v>0</v>
      </c>
      <c r="C3" s="14" t="s">
        <v>5</v>
      </c>
      <c r="D3" s="14" t="s">
        <v>14</v>
      </c>
      <c r="E3" s="5">
        <v>1927</v>
      </c>
      <c r="F3" s="6">
        <v>159</v>
      </c>
      <c r="G3" s="7">
        <v>0.3</v>
      </c>
      <c r="H3" s="6">
        <f>F3+(G3*F3)</f>
        <v>206.7</v>
      </c>
      <c r="I3" s="29">
        <f t="shared" ref="I3:K16" si="1">$F3+($F3*I$1)</f>
        <v>206.7</v>
      </c>
      <c r="J3" s="29">
        <f t="shared" si="1"/>
        <v>238.5</v>
      </c>
      <c r="K3" s="29">
        <f t="shared" si="1"/>
        <v>270.3</v>
      </c>
    </row>
    <row r="4" spans="1:11" x14ac:dyDescent="0.25">
      <c r="A4" s="4">
        <v>3</v>
      </c>
      <c r="B4" s="5" t="s">
        <v>1</v>
      </c>
      <c r="C4" s="14" t="s">
        <v>4</v>
      </c>
      <c r="D4" s="14" t="s">
        <v>14</v>
      </c>
      <c r="E4" s="5">
        <v>1934</v>
      </c>
      <c r="F4" s="6">
        <v>750.45899999999995</v>
      </c>
      <c r="G4" s="7">
        <v>0.2</v>
      </c>
      <c r="H4" s="6">
        <f t="shared" ref="H4:H16" si="2">F4+(G4*F4)</f>
        <v>900.55079999999998</v>
      </c>
      <c r="I4" s="29">
        <f t="shared" si="1"/>
        <v>975.59669999999994</v>
      </c>
      <c r="J4" s="29">
        <f t="shared" si="1"/>
        <v>1125.6885</v>
      </c>
      <c r="K4" s="29">
        <f t="shared" si="1"/>
        <v>1275.7802999999999</v>
      </c>
    </row>
    <row r="5" spans="1:11" x14ac:dyDescent="0.25">
      <c r="A5" s="4">
        <v>4</v>
      </c>
      <c r="B5" s="5" t="s">
        <v>2</v>
      </c>
      <c r="C5" s="14" t="s">
        <v>5</v>
      </c>
      <c r="D5" s="14" t="s">
        <v>14</v>
      </c>
      <c r="E5" s="5">
        <v>1921</v>
      </c>
      <c r="F5" s="6">
        <v>250</v>
      </c>
      <c r="G5" s="7">
        <v>0.15</v>
      </c>
      <c r="H5" s="6">
        <f t="shared" si="2"/>
        <v>287.5</v>
      </c>
      <c r="I5" s="29">
        <f t="shared" si="1"/>
        <v>325</v>
      </c>
      <c r="J5" s="29">
        <f t="shared" si="1"/>
        <v>375</v>
      </c>
      <c r="K5" s="29">
        <f t="shared" si="1"/>
        <v>425</v>
      </c>
    </row>
    <row r="6" spans="1:11" ht="30" x14ac:dyDescent="0.25">
      <c r="A6" s="4">
        <v>5</v>
      </c>
      <c r="B6" s="5" t="s">
        <v>3</v>
      </c>
      <c r="C6" s="16" t="s">
        <v>11</v>
      </c>
      <c r="D6" s="16" t="s">
        <v>14</v>
      </c>
      <c r="E6" s="5">
        <v>1999</v>
      </c>
      <c r="F6" s="6">
        <v>1275.2488000000001</v>
      </c>
      <c r="G6" s="7">
        <v>0.1</v>
      </c>
      <c r="H6" s="6">
        <f t="shared" si="2"/>
        <v>1402.77368</v>
      </c>
      <c r="I6" s="29">
        <f t="shared" si="1"/>
        <v>1657.8234400000001</v>
      </c>
      <c r="J6" s="29">
        <f t="shared" si="1"/>
        <v>1912.8732</v>
      </c>
      <c r="K6" s="29">
        <f t="shared" si="1"/>
        <v>2167.9229599999999</v>
      </c>
    </row>
    <row r="7" spans="1:11" x14ac:dyDescent="0.25">
      <c r="A7" s="4">
        <v>6</v>
      </c>
      <c r="B7" s="23" t="s">
        <v>10</v>
      </c>
      <c r="C7" s="5" t="s">
        <v>4</v>
      </c>
      <c r="D7" s="5" t="s">
        <v>15</v>
      </c>
      <c r="E7" s="5">
        <v>1946</v>
      </c>
      <c r="F7" s="6">
        <v>499</v>
      </c>
      <c r="G7" s="7">
        <v>0.3</v>
      </c>
      <c r="H7" s="6">
        <f t="shared" si="2"/>
        <v>648.70000000000005</v>
      </c>
      <c r="I7" s="29">
        <f t="shared" si="1"/>
        <v>648.70000000000005</v>
      </c>
      <c r="J7" s="29">
        <f t="shared" si="1"/>
        <v>748.5</v>
      </c>
      <c r="K7" s="29">
        <f t="shared" si="1"/>
        <v>848.3</v>
      </c>
    </row>
    <row r="8" spans="1:11" x14ac:dyDescent="0.25">
      <c r="A8" s="4">
        <v>7</v>
      </c>
      <c r="B8" s="5" t="s">
        <v>0</v>
      </c>
      <c r="C8" s="14" t="s">
        <v>5</v>
      </c>
      <c r="D8" s="14" t="s">
        <v>15</v>
      </c>
      <c r="E8" s="5">
        <v>1927</v>
      </c>
      <c r="F8" s="6">
        <v>109</v>
      </c>
      <c r="G8" s="7">
        <v>0.3</v>
      </c>
      <c r="H8" s="6">
        <f t="shared" si="2"/>
        <v>141.69999999999999</v>
      </c>
      <c r="I8" s="29">
        <f t="shared" si="1"/>
        <v>141.69999999999999</v>
      </c>
      <c r="J8" s="29">
        <f t="shared" si="1"/>
        <v>163.5</v>
      </c>
      <c r="K8" s="29">
        <f t="shared" si="1"/>
        <v>185.3</v>
      </c>
    </row>
    <row r="9" spans="1:11" x14ac:dyDescent="0.25">
      <c r="A9" s="4">
        <v>8</v>
      </c>
      <c r="B9" s="5" t="s">
        <v>1</v>
      </c>
      <c r="C9" s="14" t="s">
        <v>4</v>
      </c>
      <c r="D9" s="14" t="s">
        <v>15</v>
      </c>
      <c r="E9" s="5">
        <v>1934</v>
      </c>
      <c r="F9" s="6">
        <v>650</v>
      </c>
      <c r="G9" s="7">
        <v>0.2</v>
      </c>
      <c r="H9" s="6">
        <f t="shared" si="2"/>
        <v>780</v>
      </c>
      <c r="I9" s="29">
        <f t="shared" si="1"/>
        <v>845</v>
      </c>
      <c r="J9" s="29">
        <f t="shared" si="1"/>
        <v>975</v>
      </c>
      <c r="K9" s="29">
        <f t="shared" si="1"/>
        <v>1105</v>
      </c>
    </row>
    <row r="10" spans="1:11" x14ac:dyDescent="0.25">
      <c r="A10" s="4">
        <v>9</v>
      </c>
      <c r="B10" s="5" t="s">
        <v>2</v>
      </c>
      <c r="C10" s="14" t="s">
        <v>5</v>
      </c>
      <c r="D10" s="14" t="s">
        <v>15</v>
      </c>
      <c r="E10" s="5">
        <v>1921</v>
      </c>
      <c r="F10" s="6">
        <v>220</v>
      </c>
      <c r="G10" s="7">
        <v>0.15</v>
      </c>
      <c r="H10" s="6">
        <f t="shared" si="2"/>
        <v>253</v>
      </c>
      <c r="I10" s="29">
        <f t="shared" si="1"/>
        <v>286</v>
      </c>
      <c r="J10" s="29">
        <f t="shared" si="1"/>
        <v>330</v>
      </c>
      <c r="K10" s="29">
        <f t="shared" si="1"/>
        <v>374</v>
      </c>
    </row>
    <row r="11" spans="1:11" ht="30" x14ac:dyDescent="0.25">
      <c r="A11" s="4">
        <v>10</v>
      </c>
      <c r="B11" s="5" t="s">
        <v>3</v>
      </c>
      <c r="C11" s="16" t="s">
        <v>11</v>
      </c>
      <c r="D11" s="16" t="s">
        <v>15</v>
      </c>
      <c r="E11" s="5">
        <v>1999</v>
      </c>
      <c r="F11" s="6">
        <v>1200</v>
      </c>
      <c r="G11" s="7">
        <v>0.1</v>
      </c>
      <c r="H11" s="6">
        <f t="shared" si="2"/>
        <v>1320</v>
      </c>
      <c r="I11" s="29">
        <f t="shared" si="1"/>
        <v>1560</v>
      </c>
      <c r="J11" s="29">
        <f t="shared" si="1"/>
        <v>1800</v>
      </c>
      <c r="K11" s="29">
        <f t="shared" si="1"/>
        <v>2040</v>
      </c>
    </row>
    <row r="12" spans="1:11" x14ac:dyDescent="0.25">
      <c r="A12" s="4">
        <v>11</v>
      </c>
      <c r="B12" s="23" t="s">
        <v>10</v>
      </c>
      <c r="C12" s="5" t="s">
        <v>4</v>
      </c>
      <c r="D12" s="17" t="s">
        <v>16</v>
      </c>
      <c r="E12" s="18">
        <v>2004</v>
      </c>
      <c r="F12" s="6">
        <v>250</v>
      </c>
      <c r="G12" s="7">
        <v>0.3</v>
      </c>
      <c r="H12" s="6">
        <f t="shared" si="2"/>
        <v>325</v>
      </c>
      <c r="I12" s="29">
        <f t="shared" si="1"/>
        <v>325</v>
      </c>
      <c r="J12" s="29">
        <f t="shared" si="1"/>
        <v>375</v>
      </c>
      <c r="K12" s="29">
        <f t="shared" si="1"/>
        <v>425</v>
      </c>
    </row>
    <row r="13" spans="1:11" x14ac:dyDescent="0.25">
      <c r="A13" s="4">
        <v>12</v>
      </c>
      <c r="B13" s="5" t="s">
        <v>0</v>
      </c>
      <c r="C13" s="14" t="s">
        <v>5</v>
      </c>
      <c r="D13" s="17" t="s">
        <v>16</v>
      </c>
      <c r="E13" s="18">
        <v>2004</v>
      </c>
      <c r="F13" s="6">
        <v>50</v>
      </c>
      <c r="G13" s="7">
        <v>0.3</v>
      </c>
      <c r="H13" s="6">
        <f t="shared" si="2"/>
        <v>65</v>
      </c>
      <c r="I13" s="29">
        <f t="shared" si="1"/>
        <v>65</v>
      </c>
      <c r="J13" s="29">
        <f t="shared" si="1"/>
        <v>75</v>
      </c>
      <c r="K13" s="29">
        <f t="shared" si="1"/>
        <v>85</v>
      </c>
    </row>
    <row r="14" spans="1:11" x14ac:dyDescent="0.25">
      <c r="A14" s="4">
        <v>13</v>
      </c>
      <c r="B14" s="5" t="s">
        <v>1</v>
      </c>
      <c r="C14" s="14" t="s">
        <v>4</v>
      </c>
      <c r="D14" s="17" t="s">
        <v>16</v>
      </c>
      <c r="E14" s="18">
        <v>2005</v>
      </c>
      <c r="F14" s="6">
        <v>300</v>
      </c>
      <c r="G14" s="7">
        <v>0.2</v>
      </c>
      <c r="H14" s="6">
        <f t="shared" si="2"/>
        <v>360</v>
      </c>
      <c r="I14" s="29">
        <f t="shared" si="1"/>
        <v>390</v>
      </c>
      <c r="J14" s="29">
        <f t="shared" si="1"/>
        <v>450</v>
      </c>
      <c r="K14" s="29">
        <f t="shared" si="1"/>
        <v>510</v>
      </c>
    </row>
    <row r="15" spans="1:11" x14ac:dyDescent="0.25">
      <c r="A15" s="4">
        <v>14</v>
      </c>
      <c r="B15" s="5" t="s">
        <v>2</v>
      </c>
      <c r="C15" s="14" t="s">
        <v>5</v>
      </c>
      <c r="D15" s="17" t="s">
        <v>16</v>
      </c>
      <c r="E15" s="18">
        <v>2005</v>
      </c>
      <c r="F15" s="6">
        <v>105</v>
      </c>
      <c r="G15" s="7">
        <v>0.15</v>
      </c>
      <c r="H15" s="6">
        <f t="shared" si="2"/>
        <v>120.75</v>
      </c>
      <c r="I15" s="29">
        <f t="shared" si="1"/>
        <v>136.5</v>
      </c>
      <c r="J15" s="29">
        <f t="shared" si="1"/>
        <v>157.5</v>
      </c>
      <c r="K15" s="29">
        <f t="shared" si="1"/>
        <v>178.5</v>
      </c>
    </row>
    <row r="16" spans="1:11" ht="30.75" thickBot="1" x14ac:dyDescent="0.3">
      <c r="A16" s="8">
        <v>15</v>
      </c>
      <c r="B16" s="24" t="s">
        <v>3</v>
      </c>
      <c r="C16" s="15" t="s">
        <v>11</v>
      </c>
      <c r="D16" s="19" t="s">
        <v>16</v>
      </c>
      <c r="E16" s="20">
        <v>2005</v>
      </c>
      <c r="F16" s="9">
        <v>500</v>
      </c>
      <c r="G16" s="10">
        <v>0.1</v>
      </c>
      <c r="H16" s="6">
        <f t="shared" si="2"/>
        <v>550</v>
      </c>
      <c r="I16" s="29">
        <f t="shared" si="1"/>
        <v>650</v>
      </c>
      <c r="J16" s="29">
        <f t="shared" si="1"/>
        <v>750</v>
      </c>
      <c r="K16" s="29">
        <f t="shared" si="1"/>
        <v>850</v>
      </c>
    </row>
    <row r="17" spans="1:3" ht="15.75" thickTop="1" x14ac:dyDescent="0.25"/>
    <row r="18" spans="1:3" x14ac:dyDescent="0.25">
      <c r="A18">
        <f>COUNT(A2:A16)</f>
        <v>15</v>
      </c>
      <c r="B18">
        <f>COUNTA(B2:B16)</f>
        <v>15</v>
      </c>
      <c r="C18">
        <f>COUNTBLANK(F18:G19)</f>
        <v>4</v>
      </c>
    </row>
  </sheetData>
  <sortState ref="A3:G17">
    <sortCondition ref="A3:A1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H10"/>
  <sheetViews>
    <sheetView topLeftCell="NS1" zoomScale="160" zoomScaleNormal="160" workbookViewId="0">
      <selection activeCell="NZ12" sqref="NZ12"/>
    </sheetView>
  </sheetViews>
  <sheetFormatPr defaultRowHeight="15" x14ac:dyDescent="0.25"/>
  <cols>
    <col min="1" max="1" width="15.7109375" bestFit="1" customWidth="1"/>
    <col min="2" max="2" width="8.85546875" bestFit="1" customWidth="1"/>
    <col min="3" max="10" width="5.5703125" bestFit="1" customWidth="1"/>
    <col min="11" max="32" width="6.5703125" bestFit="1" customWidth="1"/>
    <col min="33" max="41" width="6" bestFit="1" customWidth="1"/>
    <col min="42" max="60" width="7" bestFit="1" customWidth="1"/>
    <col min="61" max="69" width="6.140625" bestFit="1" customWidth="1"/>
    <col min="70" max="91" width="7.140625" bestFit="1" customWidth="1"/>
    <col min="92" max="100" width="5.85546875" bestFit="1" customWidth="1"/>
    <col min="101" max="121" width="6.85546875" bestFit="1" customWidth="1"/>
    <col min="122" max="130" width="6.42578125" bestFit="1" customWidth="1"/>
    <col min="131" max="152" width="7.42578125" bestFit="1" customWidth="1"/>
    <col min="153" max="161" width="5.7109375" bestFit="1" customWidth="1"/>
    <col min="162" max="182" width="6.7109375" bestFit="1" customWidth="1"/>
    <col min="183" max="191" width="5.140625" bestFit="1" customWidth="1"/>
    <col min="192" max="222" width="6.140625" bestFit="1" customWidth="1"/>
    <col min="223" max="244" width="7.140625" bestFit="1" customWidth="1"/>
    <col min="245" max="253" width="6" bestFit="1" customWidth="1"/>
    <col min="254" max="274" width="7" bestFit="1" customWidth="1"/>
    <col min="275" max="283" width="5.7109375" bestFit="1" customWidth="1"/>
    <col min="284" max="305" width="6.7109375" bestFit="1" customWidth="1"/>
    <col min="306" max="314" width="6.28515625" bestFit="1" customWidth="1"/>
    <col min="315" max="335" width="7.28515625" bestFit="1" customWidth="1"/>
    <col min="336" max="344" width="6" bestFit="1" customWidth="1"/>
    <col min="345" max="366" width="7" bestFit="1" customWidth="1"/>
    <col min="369" max="369" width="10.28515625" bestFit="1" customWidth="1"/>
    <col min="384" max="384" width="12.5703125" bestFit="1" customWidth="1"/>
  </cols>
  <sheetData>
    <row r="1" spans="1:398" x14ac:dyDescent="0.25">
      <c r="B1">
        <f>MONTH(B2)</f>
        <v>1</v>
      </c>
      <c r="C1">
        <f t="shared" ref="C1:BN1" si="0">MONTH(C2)</f>
        <v>1</v>
      </c>
      <c r="D1">
        <f t="shared" si="0"/>
        <v>1</v>
      </c>
      <c r="E1">
        <f t="shared" si="0"/>
        <v>1</v>
      </c>
      <c r="F1">
        <f t="shared" si="0"/>
        <v>1</v>
      </c>
      <c r="G1">
        <f t="shared" si="0"/>
        <v>1</v>
      </c>
      <c r="H1">
        <f t="shared" si="0"/>
        <v>1</v>
      </c>
      <c r="I1">
        <f t="shared" si="0"/>
        <v>1</v>
      </c>
      <c r="J1">
        <f t="shared" si="0"/>
        <v>1</v>
      </c>
      <c r="K1">
        <f t="shared" si="0"/>
        <v>1</v>
      </c>
      <c r="L1">
        <f t="shared" si="0"/>
        <v>1</v>
      </c>
      <c r="M1">
        <f t="shared" si="0"/>
        <v>1</v>
      </c>
      <c r="N1">
        <f t="shared" si="0"/>
        <v>1</v>
      </c>
      <c r="O1">
        <f t="shared" si="0"/>
        <v>1</v>
      </c>
      <c r="P1">
        <f t="shared" si="0"/>
        <v>1</v>
      </c>
      <c r="Q1">
        <f t="shared" si="0"/>
        <v>1</v>
      </c>
      <c r="R1">
        <f t="shared" si="0"/>
        <v>1</v>
      </c>
      <c r="S1">
        <f t="shared" si="0"/>
        <v>1</v>
      </c>
      <c r="T1">
        <f t="shared" si="0"/>
        <v>1</v>
      </c>
      <c r="U1">
        <f t="shared" si="0"/>
        <v>1</v>
      </c>
      <c r="V1">
        <f t="shared" si="0"/>
        <v>1</v>
      </c>
      <c r="W1">
        <f t="shared" si="0"/>
        <v>1</v>
      </c>
      <c r="X1">
        <f t="shared" si="0"/>
        <v>1</v>
      </c>
      <c r="Y1">
        <f t="shared" si="0"/>
        <v>1</v>
      </c>
      <c r="Z1">
        <f t="shared" si="0"/>
        <v>1</v>
      </c>
      <c r="AA1">
        <f t="shared" si="0"/>
        <v>1</v>
      </c>
      <c r="AB1">
        <f t="shared" si="0"/>
        <v>1</v>
      </c>
      <c r="AC1">
        <f t="shared" si="0"/>
        <v>1</v>
      </c>
      <c r="AD1">
        <f t="shared" si="0"/>
        <v>1</v>
      </c>
      <c r="AE1">
        <f t="shared" si="0"/>
        <v>1</v>
      </c>
      <c r="AF1">
        <f t="shared" si="0"/>
        <v>1</v>
      </c>
      <c r="AG1">
        <f t="shared" si="0"/>
        <v>2</v>
      </c>
      <c r="AH1">
        <f t="shared" si="0"/>
        <v>2</v>
      </c>
      <c r="AI1">
        <f t="shared" si="0"/>
        <v>2</v>
      </c>
      <c r="AJ1">
        <f t="shared" si="0"/>
        <v>2</v>
      </c>
      <c r="AK1">
        <f t="shared" si="0"/>
        <v>2</v>
      </c>
      <c r="AL1">
        <f t="shared" si="0"/>
        <v>2</v>
      </c>
      <c r="AM1">
        <f t="shared" si="0"/>
        <v>2</v>
      </c>
      <c r="AN1">
        <f t="shared" si="0"/>
        <v>2</v>
      </c>
      <c r="AO1">
        <f t="shared" si="0"/>
        <v>2</v>
      </c>
      <c r="AP1">
        <f t="shared" si="0"/>
        <v>2</v>
      </c>
      <c r="AQ1">
        <f t="shared" si="0"/>
        <v>2</v>
      </c>
      <c r="AR1">
        <f t="shared" si="0"/>
        <v>2</v>
      </c>
      <c r="AS1">
        <f t="shared" si="0"/>
        <v>2</v>
      </c>
      <c r="AT1">
        <f t="shared" si="0"/>
        <v>2</v>
      </c>
      <c r="AU1">
        <f t="shared" si="0"/>
        <v>2</v>
      </c>
      <c r="AV1">
        <f t="shared" si="0"/>
        <v>2</v>
      </c>
      <c r="AW1">
        <f t="shared" si="0"/>
        <v>2</v>
      </c>
      <c r="AX1">
        <f t="shared" si="0"/>
        <v>2</v>
      </c>
      <c r="AY1">
        <f t="shared" si="0"/>
        <v>2</v>
      </c>
      <c r="AZ1">
        <f t="shared" si="0"/>
        <v>2</v>
      </c>
      <c r="BA1">
        <f t="shared" si="0"/>
        <v>2</v>
      </c>
      <c r="BB1">
        <f t="shared" si="0"/>
        <v>2</v>
      </c>
      <c r="BC1">
        <f t="shared" si="0"/>
        <v>2</v>
      </c>
      <c r="BD1">
        <f t="shared" si="0"/>
        <v>2</v>
      </c>
      <c r="BE1">
        <f t="shared" si="0"/>
        <v>2</v>
      </c>
      <c r="BF1">
        <f t="shared" si="0"/>
        <v>2</v>
      </c>
      <c r="BG1">
        <f t="shared" si="0"/>
        <v>2</v>
      </c>
      <c r="BH1">
        <f t="shared" si="0"/>
        <v>2</v>
      </c>
      <c r="BI1">
        <f t="shared" si="0"/>
        <v>3</v>
      </c>
      <c r="BJ1">
        <f t="shared" si="0"/>
        <v>3</v>
      </c>
      <c r="BK1">
        <f t="shared" si="0"/>
        <v>3</v>
      </c>
      <c r="BL1">
        <f t="shared" si="0"/>
        <v>3</v>
      </c>
      <c r="BM1">
        <f t="shared" si="0"/>
        <v>3</v>
      </c>
      <c r="BN1">
        <f t="shared" si="0"/>
        <v>3</v>
      </c>
      <c r="BO1">
        <f t="shared" ref="BO1:DZ1" si="1">MONTH(BO2)</f>
        <v>3</v>
      </c>
      <c r="BP1">
        <f t="shared" si="1"/>
        <v>3</v>
      </c>
      <c r="BQ1">
        <f t="shared" si="1"/>
        <v>3</v>
      </c>
      <c r="BR1">
        <f t="shared" si="1"/>
        <v>3</v>
      </c>
      <c r="BS1">
        <f t="shared" si="1"/>
        <v>3</v>
      </c>
      <c r="BT1">
        <f t="shared" si="1"/>
        <v>3</v>
      </c>
      <c r="BU1">
        <f t="shared" si="1"/>
        <v>3</v>
      </c>
      <c r="BV1">
        <f t="shared" si="1"/>
        <v>3</v>
      </c>
      <c r="BW1">
        <f t="shared" si="1"/>
        <v>3</v>
      </c>
      <c r="BX1">
        <f t="shared" si="1"/>
        <v>3</v>
      </c>
      <c r="BY1">
        <f t="shared" si="1"/>
        <v>3</v>
      </c>
      <c r="BZ1">
        <f t="shared" si="1"/>
        <v>3</v>
      </c>
      <c r="CA1">
        <f t="shared" si="1"/>
        <v>3</v>
      </c>
      <c r="CB1">
        <f t="shared" si="1"/>
        <v>3</v>
      </c>
      <c r="CC1">
        <f t="shared" si="1"/>
        <v>3</v>
      </c>
      <c r="CD1">
        <f t="shared" si="1"/>
        <v>3</v>
      </c>
      <c r="CE1">
        <f t="shared" si="1"/>
        <v>3</v>
      </c>
      <c r="CF1">
        <f t="shared" si="1"/>
        <v>3</v>
      </c>
      <c r="CG1">
        <f t="shared" si="1"/>
        <v>3</v>
      </c>
      <c r="CH1">
        <f t="shared" si="1"/>
        <v>3</v>
      </c>
      <c r="CI1">
        <f t="shared" si="1"/>
        <v>3</v>
      </c>
      <c r="CJ1">
        <f t="shared" si="1"/>
        <v>3</v>
      </c>
      <c r="CK1">
        <f t="shared" si="1"/>
        <v>3</v>
      </c>
      <c r="CL1">
        <f t="shared" si="1"/>
        <v>3</v>
      </c>
      <c r="CM1">
        <f t="shared" si="1"/>
        <v>3</v>
      </c>
      <c r="CN1">
        <f t="shared" si="1"/>
        <v>4</v>
      </c>
      <c r="CO1">
        <f t="shared" si="1"/>
        <v>4</v>
      </c>
      <c r="CP1">
        <f t="shared" si="1"/>
        <v>4</v>
      </c>
      <c r="CQ1">
        <f t="shared" si="1"/>
        <v>4</v>
      </c>
      <c r="CR1">
        <f t="shared" si="1"/>
        <v>4</v>
      </c>
      <c r="CS1">
        <f t="shared" si="1"/>
        <v>4</v>
      </c>
      <c r="CT1">
        <f t="shared" si="1"/>
        <v>4</v>
      </c>
      <c r="CU1">
        <f t="shared" si="1"/>
        <v>4</v>
      </c>
      <c r="CV1">
        <f t="shared" si="1"/>
        <v>4</v>
      </c>
      <c r="CW1">
        <f t="shared" si="1"/>
        <v>4</v>
      </c>
      <c r="CX1">
        <f t="shared" si="1"/>
        <v>4</v>
      </c>
      <c r="CY1">
        <f t="shared" si="1"/>
        <v>4</v>
      </c>
      <c r="CZ1">
        <f t="shared" si="1"/>
        <v>4</v>
      </c>
      <c r="DA1">
        <f t="shared" si="1"/>
        <v>4</v>
      </c>
      <c r="DB1">
        <f t="shared" si="1"/>
        <v>4</v>
      </c>
      <c r="DC1">
        <f t="shared" si="1"/>
        <v>4</v>
      </c>
      <c r="DD1">
        <f t="shared" si="1"/>
        <v>4</v>
      </c>
      <c r="DE1">
        <f t="shared" si="1"/>
        <v>4</v>
      </c>
      <c r="DF1">
        <f t="shared" si="1"/>
        <v>4</v>
      </c>
      <c r="DG1">
        <f t="shared" si="1"/>
        <v>4</v>
      </c>
      <c r="DH1">
        <f t="shared" si="1"/>
        <v>4</v>
      </c>
      <c r="DI1">
        <f t="shared" si="1"/>
        <v>4</v>
      </c>
      <c r="DJ1">
        <f t="shared" si="1"/>
        <v>4</v>
      </c>
      <c r="DK1">
        <f t="shared" si="1"/>
        <v>4</v>
      </c>
      <c r="DL1">
        <f t="shared" si="1"/>
        <v>4</v>
      </c>
      <c r="DM1">
        <f t="shared" si="1"/>
        <v>4</v>
      </c>
      <c r="DN1">
        <f t="shared" si="1"/>
        <v>4</v>
      </c>
      <c r="DO1">
        <f t="shared" si="1"/>
        <v>4</v>
      </c>
      <c r="DP1">
        <f t="shared" si="1"/>
        <v>4</v>
      </c>
      <c r="DQ1">
        <f t="shared" si="1"/>
        <v>4</v>
      </c>
      <c r="DR1">
        <f t="shared" si="1"/>
        <v>5</v>
      </c>
      <c r="DS1">
        <f t="shared" si="1"/>
        <v>5</v>
      </c>
      <c r="DT1">
        <f t="shared" si="1"/>
        <v>5</v>
      </c>
      <c r="DU1">
        <f t="shared" si="1"/>
        <v>5</v>
      </c>
      <c r="DV1">
        <f t="shared" si="1"/>
        <v>5</v>
      </c>
      <c r="DW1">
        <f t="shared" si="1"/>
        <v>5</v>
      </c>
      <c r="DX1">
        <f t="shared" si="1"/>
        <v>5</v>
      </c>
      <c r="DY1">
        <f t="shared" si="1"/>
        <v>5</v>
      </c>
      <c r="DZ1">
        <f t="shared" si="1"/>
        <v>5</v>
      </c>
      <c r="EA1">
        <f t="shared" ref="EA1:GL1" si="2">MONTH(EA2)</f>
        <v>5</v>
      </c>
      <c r="EB1">
        <f t="shared" si="2"/>
        <v>5</v>
      </c>
      <c r="EC1">
        <f t="shared" si="2"/>
        <v>5</v>
      </c>
      <c r="ED1">
        <f t="shared" si="2"/>
        <v>5</v>
      </c>
      <c r="EE1">
        <f t="shared" si="2"/>
        <v>5</v>
      </c>
      <c r="EF1">
        <f t="shared" si="2"/>
        <v>5</v>
      </c>
      <c r="EG1">
        <f t="shared" si="2"/>
        <v>5</v>
      </c>
      <c r="EH1">
        <f t="shared" si="2"/>
        <v>5</v>
      </c>
      <c r="EI1">
        <f t="shared" si="2"/>
        <v>5</v>
      </c>
      <c r="EJ1">
        <f t="shared" si="2"/>
        <v>5</v>
      </c>
      <c r="EK1">
        <f t="shared" si="2"/>
        <v>5</v>
      </c>
      <c r="EL1">
        <f t="shared" si="2"/>
        <v>5</v>
      </c>
      <c r="EM1">
        <f t="shared" si="2"/>
        <v>5</v>
      </c>
      <c r="EN1">
        <f t="shared" si="2"/>
        <v>5</v>
      </c>
      <c r="EO1">
        <f t="shared" si="2"/>
        <v>5</v>
      </c>
      <c r="EP1">
        <f t="shared" si="2"/>
        <v>5</v>
      </c>
      <c r="EQ1">
        <f t="shared" si="2"/>
        <v>5</v>
      </c>
      <c r="ER1">
        <f t="shared" si="2"/>
        <v>5</v>
      </c>
      <c r="ES1">
        <f t="shared" si="2"/>
        <v>5</v>
      </c>
      <c r="ET1">
        <f t="shared" si="2"/>
        <v>5</v>
      </c>
      <c r="EU1">
        <f t="shared" si="2"/>
        <v>5</v>
      </c>
      <c r="EV1">
        <f t="shared" si="2"/>
        <v>5</v>
      </c>
      <c r="EW1">
        <f t="shared" si="2"/>
        <v>6</v>
      </c>
      <c r="EX1">
        <f t="shared" si="2"/>
        <v>6</v>
      </c>
      <c r="EY1">
        <f t="shared" si="2"/>
        <v>6</v>
      </c>
      <c r="EZ1">
        <f t="shared" si="2"/>
        <v>6</v>
      </c>
      <c r="FA1">
        <f t="shared" si="2"/>
        <v>6</v>
      </c>
      <c r="FB1">
        <f t="shared" si="2"/>
        <v>6</v>
      </c>
      <c r="FC1">
        <f t="shared" si="2"/>
        <v>6</v>
      </c>
      <c r="FD1">
        <f t="shared" si="2"/>
        <v>6</v>
      </c>
      <c r="FE1">
        <f t="shared" si="2"/>
        <v>6</v>
      </c>
      <c r="FF1">
        <f t="shared" si="2"/>
        <v>6</v>
      </c>
      <c r="FG1">
        <f t="shared" si="2"/>
        <v>6</v>
      </c>
      <c r="FH1">
        <f t="shared" si="2"/>
        <v>6</v>
      </c>
      <c r="FI1">
        <f t="shared" si="2"/>
        <v>6</v>
      </c>
      <c r="FJ1">
        <f t="shared" si="2"/>
        <v>6</v>
      </c>
      <c r="FK1">
        <f t="shared" si="2"/>
        <v>6</v>
      </c>
      <c r="FL1">
        <f t="shared" si="2"/>
        <v>6</v>
      </c>
      <c r="FM1">
        <f t="shared" si="2"/>
        <v>6</v>
      </c>
      <c r="FN1">
        <f t="shared" si="2"/>
        <v>6</v>
      </c>
      <c r="FO1">
        <f t="shared" si="2"/>
        <v>6</v>
      </c>
      <c r="FP1">
        <f t="shared" si="2"/>
        <v>6</v>
      </c>
      <c r="FQ1">
        <f t="shared" si="2"/>
        <v>6</v>
      </c>
      <c r="FR1">
        <f t="shared" si="2"/>
        <v>6</v>
      </c>
      <c r="FS1">
        <f t="shared" si="2"/>
        <v>6</v>
      </c>
      <c r="FT1">
        <f t="shared" si="2"/>
        <v>6</v>
      </c>
      <c r="FU1">
        <f t="shared" si="2"/>
        <v>6</v>
      </c>
      <c r="FV1">
        <f t="shared" si="2"/>
        <v>6</v>
      </c>
      <c r="FW1">
        <f t="shared" si="2"/>
        <v>6</v>
      </c>
      <c r="FX1">
        <f t="shared" si="2"/>
        <v>6</v>
      </c>
      <c r="FY1">
        <f t="shared" si="2"/>
        <v>6</v>
      </c>
      <c r="FZ1">
        <f t="shared" si="2"/>
        <v>6</v>
      </c>
      <c r="GA1">
        <f t="shared" si="2"/>
        <v>7</v>
      </c>
      <c r="GB1">
        <f t="shared" si="2"/>
        <v>7</v>
      </c>
      <c r="GC1">
        <f t="shared" si="2"/>
        <v>7</v>
      </c>
      <c r="GD1">
        <f t="shared" si="2"/>
        <v>7</v>
      </c>
      <c r="GE1">
        <f t="shared" si="2"/>
        <v>7</v>
      </c>
      <c r="GF1">
        <f t="shared" si="2"/>
        <v>7</v>
      </c>
      <c r="GG1">
        <f t="shared" si="2"/>
        <v>7</v>
      </c>
      <c r="GH1">
        <f t="shared" si="2"/>
        <v>7</v>
      </c>
      <c r="GI1">
        <f t="shared" si="2"/>
        <v>7</v>
      </c>
      <c r="GJ1">
        <f t="shared" si="2"/>
        <v>7</v>
      </c>
      <c r="GK1">
        <f t="shared" si="2"/>
        <v>7</v>
      </c>
      <c r="GL1">
        <f t="shared" si="2"/>
        <v>7</v>
      </c>
      <c r="GM1">
        <f t="shared" ref="GM1:IX1" si="3">MONTH(GM2)</f>
        <v>7</v>
      </c>
      <c r="GN1">
        <f t="shared" si="3"/>
        <v>7</v>
      </c>
      <c r="GO1">
        <f t="shared" si="3"/>
        <v>7</v>
      </c>
      <c r="GP1">
        <f t="shared" si="3"/>
        <v>7</v>
      </c>
      <c r="GQ1">
        <f t="shared" si="3"/>
        <v>7</v>
      </c>
      <c r="GR1">
        <f t="shared" si="3"/>
        <v>7</v>
      </c>
      <c r="GS1">
        <f t="shared" si="3"/>
        <v>7</v>
      </c>
      <c r="GT1">
        <f t="shared" si="3"/>
        <v>7</v>
      </c>
      <c r="GU1">
        <f t="shared" si="3"/>
        <v>7</v>
      </c>
      <c r="GV1">
        <f t="shared" si="3"/>
        <v>7</v>
      </c>
      <c r="GW1">
        <f t="shared" si="3"/>
        <v>7</v>
      </c>
      <c r="GX1">
        <f t="shared" si="3"/>
        <v>7</v>
      </c>
      <c r="GY1">
        <f t="shared" si="3"/>
        <v>7</v>
      </c>
      <c r="GZ1">
        <f t="shared" si="3"/>
        <v>7</v>
      </c>
      <c r="HA1">
        <f t="shared" si="3"/>
        <v>7</v>
      </c>
      <c r="HB1">
        <f t="shared" si="3"/>
        <v>7</v>
      </c>
      <c r="HC1">
        <f t="shared" si="3"/>
        <v>7</v>
      </c>
      <c r="HD1">
        <f t="shared" si="3"/>
        <v>7</v>
      </c>
      <c r="HE1">
        <f t="shared" si="3"/>
        <v>7</v>
      </c>
      <c r="HF1">
        <f t="shared" si="3"/>
        <v>8</v>
      </c>
      <c r="HG1">
        <f t="shared" si="3"/>
        <v>8</v>
      </c>
      <c r="HH1">
        <f t="shared" si="3"/>
        <v>8</v>
      </c>
      <c r="HI1">
        <f t="shared" si="3"/>
        <v>8</v>
      </c>
      <c r="HJ1">
        <f t="shared" si="3"/>
        <v>8</v>
      </c>
      <c r="HK1">
        <f t="shared" si="3"/>
        <v>8</v>
      </c>
      <c r="HL1">
        <f t="shared" si="3"/>
        <v>8</v>
      </c>
      <c r="HM1">
        <f t="shared" si="3"/>
        <v>8</v>
      </c>
      <c r="HN1">
        <f t="shared" si="3"/>
        <v>8</v>
      </c>
      <c r="HO1">
        <f t="shared" si="3"/>
        <v>8</v>
      </c>
      <c r="HP1">
        <f t="shared" si="3"/>
        <v>8</v>
      </c>
      <c r="HQ1">
        <f t="shared" si="3"/>
        <v>8</v>
      </c>
      <c r="HR1">
        <f t="shared" si="3"/>
        <v>8</v>
      </c>
      <c r="HS1">
        <f t="shared" si="3"/>
        <v>8</v>
      </c>
      <c r="HT1">
        <f t="shared" si="3"/>
        <v>8</v>
      </c>
      <c r="HU1">
        <f t="shared" si="3"/>
        <v>8</v>
      </c>
      <c r="HV1">
        <f t="shared" si="3"/>
        <v>8</v>
      </c>
      <c r="HW1">
        <f t="shared" si="3"/>
        <v>8</v>
      </c>
      <c r="HX1">
        <f t="shared" si="3"/>
        <v>8</v>
      </c>
      <c r="HY1">
        <f t="shared" si="3"/>
        <v>8</v>
      </c>
      <c r="HZ1">
        <f t="shared" si="3"/>
        <v>8</v>
      </c>
      <c r="IA1">
        <f t="shared" si="3"/>
        <v>8</v>
      </c>
      <c r="IB1">
        <f t="shared" si="3"/>
        <v>8</v>
      </c>
      <c r="IC1">
        <f t="shared" si="3"/>
        <v>8</v>
      </c>
      <c r="ID1">
        <f t="shared" si="3"/>
        <v>8</v>
      </c>
      <c r="IE1">
        <f t="shared" si="3"/>
        <v>8</v>
      </c>
      <c r="IF1">
        <f t="shared" si="3"/>
        <v>8</v>
      </c>
      <c r="IG1">
        <f t="shared" si="3"/>
        <v>8</v>
      </c>
      <c r="IH1">
        <f t="shared" si="3"/>
        <v>8</v>
      </c>
      <c r="II1">
        <f t="shared" si="3"/>
        <v>8</v>
      </c>
      <c r="IJ1">
        <f t="shared" si="3"/>
        <v>8</v>
      </c>
      <c r="IK1">
        <f t="shared" si="3"/>
        <v>9</v>
      </c>
      <c r="IL1">
        <f t="shared" si="3"/>
        <v>9</v>
      </c>
      <c r="IM1">
        <f t="shared" si="3"/>
        <v>9</v>
      </c>
      <c r="IN1">
        <f t="shared" si="3"/>
        <v>9</v>
      </c>
      <c r="IO1">
        <f t="shared" si="3"/>
        <v>9</v>
      </c>
      <c r="IP1">
        <f t="shared" si="3"/>
        <v>9</v>
      </c>
      <c r="IQ1">
        <f t="shared" si="3"/>
        <v>9</v>
      </c>
      <c r="IR1">
        <f t="shared" si="3"/>
        <v>9</v>
      </c>
      <c r="IS1">
        <f t="shared" si="3"/>
        <v>9</v>
      </c>
      <c r="IT1">
        <f t="shared" si="3"/>
        <v>9</v>
      </c>
      <c r="IU1">
        <f t="shared" si="3"/>
        <v>9</v>
      </c>
      <c r="IV1">
        <f t="shared" si="3"/>
        <v>9</v>
      </c>
      <c r="IW1">
        <f t="shared" si="3"/>
        <v>9</v>
      </c>
      <c r="IX1">
        <f t="shared" si="3"/>
        <v>9</v>
      </c>
      <c r="IY1">
        <f t="shared" ref="IY1:LJ1" si="4">MONTH(IY2)</f>
        <v>9</v>
      </c>
      <c r="IZ1">
        <f t="shared" si="4"/>
        <v>9</v>
      </c>
      <c r="JA1">
        <f t="shared" si="4"/>
        <v>9</v>
      </c>
      <c r="JB1">
        <f t="shared" si="4"/>
        <v>9</v>
      </c>
      <c r="JC1">
        <f t="shared" si="4"/>
        <v>9</v>
      </c>
      <c r="JD1">
        <f t="shared" si="4"/>
        <v>9</v>
      </c>
      <c r="JE1">
        <f t="shared" si="4"/>
        <v>9</v>
      </c>
      <c r="JF1">
        <f t="shared" si="4"/>
        <v>9</v>
      </c>
      <c r="JG1">
        <f t="shared" si="4"/>
        <v>9</v>
      </c>
      <c r="JH1">
        <f t="shared" si="4"/>
        <v>9</v>
      </c>
      <c r="JI1">
        <f t="shared" si="4"/>
        <v>9</v>
      </c>
      <c r="JJ1">
        <f t="shared" si="4"/>
        <v>9</v>
      </c>
      <c r="JK1">
        <f t="shared" si="4"/>
        <v>9</v>
      </c>
      <c r="JL1">
        <f t="shared" si="4"/>
        <v>9</v>
      </c>
      <c r="JM1">
        <f t="shared" si="4"/>
        <v>9</v>
      </c>
      <c r="JN1">
        <f t="shared" si="4"/>
        <v>9</v>
      </c>
      <c r="JO1">
        <f t="shared" si="4"/>
        <v>10</v>
      </c>
      <c r="JP1">
        <f t="shared" si="4"/>
        <v>10</v>
      </c>
      <c r="JQ1">
        <f t="shared" si="4"/>
        <v>10</v>
      </c>
      <c r="JR1">
        <f t="shared" si="4"/>
        <v>10</v>
      </c>
      <c r="JS1">
        <f t="shared" si="4"/>
        <v>10</v>
      </c>
      <c r="JT1">
        <f t="shared" si="4"/>
        <v>10</v>
      </c>
      <c r="JU1">
        <f t="shared" si="4"/>
        <v>10</v>
      </c>
      <c r="JV1">
        <f t="shared" si="4"/>
        <v>10</v>
      </c>
      <c r="JW1">
        <f t="shared" si="4"/>
        <v>10</v>
      </c>
      <c r="JX1">
        <f t="shared" si="4"/>
        <v>10</v>
      </c>
      <c r="JY1">
        <f t="shared" si="4"/>
        <v>10</v>
      </c>
      <c r="JZ1">
        <f t="shared" si="4"/>
        <v>10</v>
      </c>
      <c r="KA1">
        <f t="shared" si="4"/>
        <v>10</v>
      </c>
      <c r="KB1">
        <f t="shared" si="4"/>
        <v>10</v>
      </c>
      <c r="KC1">
        <f t="shared" si="4"/>
        <v>10</v>
      </c>
      <c r="KD1">
        <f t="shared" si="4"/>
        <v>10</v>
      </c>
      <c r="KE1">
        <f t="shared" si="4"/>
        <v>10</v>
      </c>
      <c r="KF1">
        <f t="shared" si="4"/>
        <v>10</v>
      </c>
      <c r="KG1">
        <f t="shared" si="4"/>
        <v>10</v>
      </c>
      <c r="KH1">
        <f t="shared" si="4"/>
        <v>10</v>
      </c>
      <c r="KI1">
        <f t="shared" si="4"/>
        <v>10</v>
      </c>
      <c r="KJ1">
        <f t="shared" si="4"/>
        <v>10</v>
      </c>
      <c r="KK1">
        <f t="shared" si="4"/>
        <v>10</v>
      </c>
      <c r="KL1">
        <f t="shared" si="4"/>
        <v>10</v>
      </c>
      <c r="KM1">
        <f t="shared" si="4"/>
        <v>10</v>
      </c>
      <c r="KN1">
        <f t="shared" si="4"/>
        <v>10</v>
      </c>
      <c r="KO1">
        <f t="shared" si="4"/>
        <v>10</v>
      </c>
      <c r="KP1">
        <f t="shared" si="4"/>
        <v>10</v>
      </c>
      <c r="KQ1">
        <f t="shared" si="4"/>
        <v>10</v>
      </c>
      <c r="KR1">
        <f t="shared" si="4"/>
        <v>10</v>
      </c>
      <c r="KS1">
        <f t="shared" si="4"/>
        <v>10</v>
      </c>
      <c r="KT1">
        <f t="shared" si="4"/>
        <v>11</v>
      </c>
      <c r="KU1">
        <f t="shared" si="4"/>
        <v>11</v>
      </c>
      <c r="KV1">
        <f t="shared" si="4"/>
        <v>11</v>
      </c>
      <c r="KW1">
        <f t="shared" si="4"/>
        <v>11</v>
      </c>
      <c r="KX1">
        <f t="shared" si="4"/>
        <v>11</v>
      </c>
      <c r="KY1">
        <f t="shared" si="4"/>
        <v>11</v>
      </c>
      <c r="KZ1">
        <f t="shared" si="4"/>
        <v>11</v>
      </c>
      <c r="LA1">
        <f t="shared" si="4"/>
        <v>11</v>
      </c>
      <c r="LB1">
        <f t="shared" si="4"/>
        <v>11</v>
      </c>
      <c r="LC1">
        <f t="shared" si="4"/>
        <v>11</v>
      </c>
      <c r="LD1">
        <f t="shared" si="4"/>
        <v>11</v>
      </c>
      <c r="LE1">
        <f t="shared" si="4"/>
        <v>11</v>
      </c>
      <c r="LF1">
        <f t="shared" si="4"/>
        <v>11</v>
      </c>
      <c r="LG1">
        <f t="shared" si="4"/>
        <v>11</v>
      </c>
      <c r="LH1">
        <f t="shared" si="4"/>
        <v>11</v>
      </c>
      <c r="LI1">
        <f t="shared" si="4"/>
        <v>11</v>
      </c>
      <c r="LJ1">
        <f t="shared" si="4"/>
        <v>11</v>
      </c>
      <c r="LK1">
        <f t="shared" ref="LK1:NB1" si="5">MONTH(LK2)</f>
        <v>11</v>
      </c>
      <c r="LL1">
        <f t="shared" si="5"/>
        <v>11</v>
      </c>
      <c r="LM1">
        <f t="shared" si="5"/>
        <v>11</v>
      </c>
      <c r="LN1">
        <f t="shared" si="5"/>
        <v>11</v>
      </c>
      <c r="LO1">
        <f t="shared" si="5"/>
        <v>11</v>
      </c>
      <c r="LP1">
        <f t="shared" si="5"/>
        <v>11</v>
      </c>
      <c r="LQ1">
        <f t="shared" si="5"/>
        <v>11</v>
      </c>
      <c r="LR1">
        <f t="shared" si="5"/>
        <v>11</v>
      </c>
      <c r="LS1">
        <f t="shared" si="5"/>
        <v>11</v>
      </c>
      <c r="LT1">
        <f t="shared" si="5"/>
        <v>11</v>
      </c>
      <c r="LU1">
        <f t="shared" si="5"/>
        <v>11</v>
      </c>
      <c r="LV1">
        <f t="shared" si="5"/>
        <v>11</v>
      </c>
      <c r="LW1">
        <f t="shared" si="5"/>
        <v>11</v>
      </c>
      <c r="LX1">
        <f t="shared" si="5"/>
        <v>12</v>
      </c>
      <c r="LY1">
        <f t="shared" si="5"/>
        <v>12</v>
      </c>
      <c r="LZ1">
        <f t="shared" si="5"/>
        <v>12</v>
      </c>
      <c r="MA1">
        <f t="shared" si="5"/>
        <v>12</v>
      </c>
      <c r="MB1">
        <f t="shared" si="5"/>
        <v>12</v>
      </c>
      <c r="MC1">
        <f t="shared" si="5"/>
        <v>12</v>
      </c>
      <c r="MD1">
        <f t="shared" si="5"/>
        <v>12</v>
      </c>
      <c r="ME1">
        <f t="shared" si="5"/>
        <v>12</v>
      </c>
      <c r="MF1">
        <f t="shared" si="5"/>
        <v>12</v>
      </c>
      <c r="MG1">
        <f t="shared" si="5"/>
        <v>12</v>
      </c>
      <c r="MH1">
        <f t="shared" si="5"/>
        <v>12</v>
      </c>
      <c r="MI1">
        <f t="shared" si="5"/>
        <v>12</v>
      </c>
      <c r="MJ1">
        <f t="shared" si="5"/>
        <v>12</v>
      </c>
      <c r="MK1">
        <f t="shared" si="5"/>
        <v>12</v>
      </c>
      <c r="ML1">
        <f t="shared" si="5"/>
        <v>12</v>
      </c>
      <c r="MM1">
        <f t="shared" si="5"/>
        <v>12</v>
      </c>
      <c r="MN1">
        <f t="shared" si="5"/>
        <v>12</v>
      </c>
      <c r="MO1">
        <f t="shared" si="5"/>
        <v>12</v>
      </c>
      <c r="MP1">
        <f t="shared" si="5"/>
        <v>12</v>
      </c>
      <c r="MQ1">
        <f t="shared" si="5"/>
        <v>12</v>
      </c>
      <c r="MR1">
        <f t="shared" si="5"/>
        <v>12</v>
      </c>
      <c r="MS1">
        <f t="shared" si="5"/>
        <v>12</v>
      </c>
      <c r="MT1">
        <f t="shared" si="5"/>
        <v>12</v>
      </c>
      <c r="MU1">
        <f t="shared" si="5"/>
        <v>12</v>
      </c>
      <c r="MV1">
        <f t="shared" si="5"/>
        <v>12</v>
      </c>
      <c r="MW1">
        <f t="shared" si="5"/>
        <v>12</v>
      </c>
      <c r="MX1">
        <f t="shared" si="5"/>
        <v>12</v>
      </c>
      <c r="MY1">
        <f t="shared" si="5"/>
        <v>12</v>
      </c>
      <c r="MZ1">
        <f t="shared" si="5"/>
        <v>12</v>
      </c>
      <c r="NA1">
        <f t="shared" si="5"/>
        <v>12</v>
      </c>
      <c r="NB1">
        <f t="shared" si="5"/>
        <v>12</v>
      </c>
      <c r="NF1" s="33">
        <v>1</v>
      </c>
      <c r="NG1" s="33">
        <v>2</v>
      </c>
      <c r="NH1" s="33">
        <v>3</v>
      </c>
      <c r="NI1" s="33">
        <v>4</v>
      </c>
      <c r="NJ1" s="33">
        <v>5</v>
      </c>
      <c r="NK1" s="33">
        <v>6</v>
      </c>
      <c r="NL1" s="33">
        <v>7</v>
      </c>
      <c r="NM1" s="33">
        <v>8</v>
      </c>
      <c r="NN1" s="33">
        <v>9</v>
      </c>
      <c r="NO1" s="33">
        <v>10</v>
      </c>
      <c r="NP1" s="33">
        <v>11</v>
      </c>
      <c r="NQ1" s="33">
        <v>12</v>
      </c>
      <c r="NU1" s="33">
        <v>1</v>
      </c>
      <c r="NV1" s="33">
        <v>2</v>
      </c>
      <c r="NW1" s="33">
        <v>3</v>
      </c>
      <c r="NX1" s="33">
        <v>4</v>
      </c>
      <c r="NY1" s="33">
        <v>5</v>
      </c>
      <c r="NZ1" s="33">
        <v>6</v>
      </c>
      <c r="OA1" s="33">
        <v>7</v>
      </c>
      <c r="OB1" s="33">
        <v>8</v>
      </c>
      <c r="OC1" s="33">
        <v>9</v>
      </c>
      <c r="OD1" s="33">
        <v>10</v>
      </c>
      <c r="OE1" s="33">
        <v>11</v>
      </c>
      <c r="OF1" s="33">
        <v>12</v>
      </c>
    </row>
    <row r="2" spans="1:398" x14ac:dyDescent="0.25">
      <c r="A2" t="s">
        <v>18</v>
      </c>
      <c r="B2" s="26">
        <v>41275</v>
      </c>
      <c r="C2" s="26">
        <v>41276</v>
      </c>
      <c r="D2" s="26">
        <v>41277</v>
      </c>
      <c r="E2" s="26">
        <v>41278</v>
      </c>
      <c r="F2" s="26">
        <v>41279</v>
      </c>
      <c r="G2" s="26">
        <v>41280</v>
      </c>
      <c r="H2" s="26">
        <v>41281</v>
      </c>
      <c r="I2" s="26">
        <v>41282</v>
      </c>
      <c r="J2" s="26">
        <v>41283</v>
      </c>
      <c r="K2" s="26">
        <v>41284</v>
      </c>
      <c r="L2" s="26">
        <v>41285</v>
      </c>
      <c r="M2" s="26">
        <v>41286</v>
      </c>
      <c r="N2" s="26">
        <v>41287</v>
      </c>
      <c r="O2" s="26">
        <v>41288</v>
      </c>
      <c r="P2" s="26">
        <v>41289</v>
      </c>
      <c r="Q2" s="26">
        <v>41290</v>
      </c>
      <c r="R2" s="26">
        <v>41291</v>
      </c>
      <c r="S2" s="26">
        <v>41292</v>
      </c>
      <c r="T2" s="26">
        <v>41293</v>
      </c>
      <c r="U2" s="26">
        <v>41294</v>
      </c>
      <c r="V2" s="26">
        <v>41295</v>
      </c>
      <c r="W2" s="26">
        <v>41296</v>
      </c>
      <c r="X2" s="26">
        <v>41297</v>
      </c>
      <c r="Y2" s="26">
        <v>41298</v>
      </c>
      <c r="Z2" s="26">
        <v>41299</v>
      </c>
      <c r="AA2" s="26">
        <v>41300</v>
      </c>
      <c r="AB2" s="26">
        <v>41301</v>
      </c>
      <c r="AC2" s="26">
        <v>41302</v>
      </c>
      <c r="AD2" s="26">
        <v>41303</v>
      </c>
      <c r="AE2" s="26">
        <v>41304</v>
      </c>
      <c r="AF2" s="26">
        <v>41305</v>
      </c>
      <c r="AG2" s="26">
        <v>41306</v>
      </c>
      <c r="AH2" s="26">
        <v>41307</v>
      </c>
      <c r="AI2" s="26">
        <v>41308</v>
      </c>
      <c r="AJ2" s="26">
        <v>41309</v>
      </c>
      <c r="AK2" s="26">
        <v>41310</v>
      </c>
      <c r="AL2" s="26">
        <v>41311</v>
      </c>
      <c r="AM2" s="26">
        <v>41312</v>
      </c>
      <c r="AN2" s="26">
        <v>41313</v>
      </c>
      <c r="AO2" s="26">
        <v>41314</v>
      </c>
      <c r="AP2" s="26">
        <v>41315</v>
      </c>
      <c r="AQ2" s="26">
        <v>41316</v>
      </c>
      <c r="AR2" s="26">
        <v>41317</v>
      </c>
      <c r="AS2" s="26">
        <v>41318</v>
      </c>
      <c r="AT2" s="26">
        <v>41319</v>
      </c>
      <c r="AU2" s="26">
        <v>41320</v>
      </c>
      <c r="AV2" s="26">
        <v>41321</v>
      </c>
      <c r="AW2" s="26">
        <v>41322</v>
      </c>
      <c r="AX2" s="26">
        <v>41323</v>
      </c>
      <c r="AY2" s="26">
        <v>41324</v>
      </c>
      <c r="AZ2" s="26">
        <v>41325</v>
      </c>
      <c r="BA2" s="26">
        <v>41326</v>
      </c>
      <c r="BB2" s="26">
        <v>41327</v>
      </c>
      <c r="BC2" s="26">
        <v>41328</v>
      </c>
      <c r="BD2" s="26">
        <v>41329</v>
      </c>
      <c r="BE2" s="26">
        <v>41330</v>
      </c>
      <c r="BF2" s="26">
        <v>41331</v>
      </c>
      <c r="BG2" s="26">
        <v>41332</v>
      </c>
      <c r="BH2" s="26">
        <v>41333</v>
      </c>
      <c r="BI2" s="26">
        <v>41334</v>
      </c>
      <c r="BJ2" s="26">
        <v>41335</v>
      </c>
      <c r="BK2" s="26">
        <v>41336</v>
      </c>
      <c r="BL2" s="26">
        <v>41337</v>
      </c>
      <c r="BM2" s="26">
        <v>41338</v>
      </c>
      <c r="BN2" s="26">
        <v>41339</v>
      </c>
      <c r="BO2" s="26">
        <v>41340</v>
      </c>
      <c r="BP2" s="26">
        <v>41341</v>
      </c>
      <c r="BQ2" s="26">
        <v>41342</v>
      </c>
      <c r="BR2" s="26">
        <v>41343</v>
      </c>
      <c r="BS2" s="26">
        <v>41344</v>
      </c>
      <c r="BT2" s="26">
        <v>41345</v>
      </c>
      <c r="BU2" s="26">
        <v>41346</v>
      </c>
      <c r="BV2" s="26">
        <v>41347</v>
      </c>
      <c r="BW2" s="26">
        <v>41348</v>
      </c>
      <c r="BX2" s="26">
        <v>41349</v>
      </c>
      <c r="BY2" s="26">
        <v>41350</v>
      </c>
      <c r="BZ2" s="26">
        <v>41351</v>
      </c>
      <c r="CA2" s="26">
        <v>41352</v>
      </c>
      <c r="CB2" s="26">
        <v>41353</v>
      </c>
      <c r="CC2" s="26">
        <v>41354</v>
      </c>
      <c r="CD2" s="26">
        <v>41355</v>
      </c>
      <c r="CE2" s="26">
        <v>41356</v>
      </c>
      <c r="CF2" s="26">
        <v>41357</v>
      </c>
      <c r="CG2" s="26">
        <v>41358</v>
      </c>
      <c r="CH2" s="26">
        <v>41359</v>
      </c>
      <c r="CI2" s="26">
        <v>41360</v>
      </c>
      <c r="CJ2" s="26">
        <v>41361</v>
      </c>
      <c r="CK2" s="26">
        <v>41362</v>
      </c>
      <c r="CL2" s="26">
        <v>41363</v>
      </c>
      <c r="CM2" s="26">
        <v>41364</v>
      </c>
      <c r="CN2" s="26">
        <v>41365</v>
      </c>
      <c r="CO2" s="26">
        <v>41366</v>
      </c>
      <c r="CP2" s="26">
        <v>41367</v>
      </c>
      <c r="CQ2" s="26">
        <v>41368</v>
      </c>
      <c r="CR2" s="26">
        <v>41369</v>
      </c>
      <c r="CS2" s="26">
        <v>41370</v>
      </c>
      <c r="CT2" s="26">
        <v>41371</v>
      </c>
      <c r="CU2" s="26">
        <v>41372</v>
      </c>
      <c r="CV2" s="26">
        <v>41373</v>
      </c>
      <c r="CW2" s="26">
        <v>41374</v>
      </c>
      <c r="CX2" s="26">
        <v>41375</v>
      </c>
      <c r="CY2" s="26">
        <v>41376</v>
      </c>
      <c r="CZ2" s="26">
        <v>41377</v>
      </c>
      <c r="DA2" s="26">
        <v>41378</v>
      </c>
      <c r="DB2" s="26">
        <v>41379</v>
      </c>
      <c r="DC2" s="26">
        <v>41380</v>
      </c>
      <c r="DD2" s="26">
        <v>41381</v>
      </c>
      <c r="DE2" s="26">
        <v>41382</v>
      </c>
      <c r="DF2" s="26">
        <v>41383</v>
      </c>
      <c r="DG2" s="26">
        <v>41384</v>
      </c>
      <c r="DH2" s="26">
        <v>41385</v>
      </c>
      <c r="DI2" s="26">
        <v>41386</v>
      </c>
      <c r="DJ2" s="26">
        <v>41387</v>
      </c>
      <c r="DK2" s="26">
        <v>41388</v>
      </c>
      <c r="DL2" s="26">
        <v>41389</v>
      </c>
      <c r="DM2" s="26">
        <v>41390</v>
      </c>
      <c r="DN2" s="26">
        <v>41391</v>
      </c>
      <c r="DO2" s="26">
        <v>41392</v>
      </c>
      <c r="DP2" s="26">
        <v>41393</v>
      </c>
      <c r="DQ2" s="26">
        <v>41394</v>
      </c>
      <c r="DR2" s="26">
        <v>41395</v>
      </c>
      <c r="DS2" s="26">
        <v>41396</v>
      </c>
      <c r="DT2" s="26">
        <v>41397</v>
      </c>
      <c r="DU2" s="26">
        <v>41398</v>
      </c>
      <c r="DV2" s="26">
        <v>41399</v>
      </c>
      <c r="DW2" s="26">
        <v>41400</v>
      </c>
      <c r="DX2" s="26">
        <v>41401</v>
      </c>
      <c r="DY2" s="26">
        <v>41402</v>
      </c>
      <c r="DZ2" s="26">
        <v>41403</v>
      </c>
      <c r="EA2" s="26">
        <v>41404</v>
      </c>
      <c r="EB2" s="26">
        <v>41405</v>
      </c>
      <c r="EC2" s="26">
        <v>41406</v>
      </c>
      <c r="ED2" s="26">
        <v>41407</v>
      </c>
      <c r="EE2" s="26">
        <v>41408</v>
      </c>
      <c r="EF2" s="26">
        <v>41409</v>
      </c>
      <c r="EG2" s="26">
        <v>41410</v>
      </c>
      <c r="EH2" s="26">
        <v>41411</v>
      </c>
      <c r="EI2" s="26">
        <v>41412</v>
      </c>
      <c r="EJ2" s="26">
        <v>41413</v>
      </c>
      <c r="EK2" s="26">
        <v>41414</v>
      </c>
      <c r="EL2" s="26">
        <v>41415</v>
      </c>
      <c r="EM2" s="26">
        <v>41416</v>
      </c>
      <c r="EN2" s="26">
        <v>41417</v>
      </c>
      <c r="EO2" s="26">
        <v>41418</v>
      </c>
      <c r="EP2" s="26">
        <v>41419</v>
      </c>
      <c r="EQ2" s="26">
        <v>41420</v>
      </c>
      <c r="ER2" s="26">
        <v>41421</v>
      </c>
      <c r="ES2" s="26">
        <v>41422</v>
      </c>
      <c r="ET2" s="26">
        <v>41423</v>
      </c>
      <c r="EU2" s="26">
        <v>41424</v>
      </c>
      <c r="EV2" s="26">
        <v>41425</v>
      </c>
      <c r="EW2" s="26">
        <v>41426</v>
      </c>
      <c r="EX2" s="26">
        <v>41427</v>
      </c>
      <c r="EY2" s="26">
        <v>41428</v>
      </c>
      <c r="EZ2" s="26">
        <v>41429</v>
      </c>
      <c r="FA2" s="26">
        <v>41430</v>
      </c>
      <c r="FB2" s="26">
        <v>41431</v>
      </c>
      <c r="FC2" s="26">
        <v>41432</v>
      </c>
      <c r="FD2" s="26">
        <v>41433</v>
      </c>
      <c r="FE2" s="26">
        <v>41434</v>
      </c>
      <c r="FF2" s="26">
        <v>41435</v>
      </c>
      <c r="FG2" s="26">
        <v>41436</v>
      </c>
      <c r="FH2" s="26">
        <v>41437</v>
      </c>
      <c r="FI2" s="26">
        <v>41438</v>
      </c>
      <c r="FJ2" s="26">
        <v>41439</v>
      </c>
      <c r="FK2" s="26">
        <v>41440</v>
      </c>
      <c r="FL2" s="26">
        <v>41441</v>
      </c>
      <c r="FM2" s="26">
        <v>41442</v>
      </c>
      <c r="FN2" s="26">
        <v>41443</v>
      </c>
      <c r="FO2" s="26">
        <v>41444</v>
      </c>
      <c r="FP2" s="26">
        <v>41445</v>
      </c>
      <c r="FQ2" s="26">
        <v>41446</v>
      </c>
      <c r="FR2" s="26">
        <v>41447</v>
      </c>
      <c r="FS2" s="26">
        <v>41448</v>
      </c>
      <c r="FT2" s="26">
        <v>41449</v>
      </c>
      <c r="FU2" s="26">
        <v>41450</v>
      </c>
      <c r="FV2" s="26">
        <v>41451</v>
      </c>
      <c r="FW2" s="26">
        <v>41452</v>
      </c>
      <c r="FX2" s="26">
        <v>41453</v>
      </c>
      <c r="FY2" s="26">
        <v>41454</v>
      </c>
      <c r="FZ2" s="26">
        <v>41455</v>
      </c>
      <c r="GA2" s="26">
        <v>41456</v>
      </c>
      <c r="GB2" s="26">
        <v>41457</v>
      </c>
      <c r="GC2" s="26">
        <v>41458</v>
      </c>
      <c r="GD2" s="26">
        <v>41459</v>
      </c>
      <c r="GE2" s="26">
        <v>41460</v>
      </c>
      <c r="GF2" s="26">
        <v>41461</v>
      </c>
      <c r="GG2" s="26">
        <v>41462</v>
      </c>
      <c r="GH2" s="26">
        <v>41463</v>
      </c>
      <c r="GI2" s="26">
        <v>41464</v>
      </c>
      <c r="GJ2" s="26">
        <v>41465</v>
      </c>
      <c r="GK2" s="26">
        <v>41466</v>
      </c>
      <c r="GL2" s="26">
        <v>41467</v>
      </c>
      <c r="GM2" s="26">
        <v>41468</v>
      </c>
      <c r="GN2" s="26">
        <v>41469</v>
      </c>
      <c r="GO2" s="26">
        <v>41470</v>
      </c>
      <c r="GP2" s="26">
        <v>41471</v>
      </c>
      <c r="GQ2" s="26">
        <v>41472</v>
      </c>
      <c r="GR2" s="26">
        <v>41473</v>
      </c>
      <c r="GS2" s="26">
        <v>41474</v>
      </c>
      <c r="GT2" s="26">
        <v>41475</v>
      </c>
      <c r="GU2" s="26">
        <v>41476</v>
      </c>
      <c r="GV2" s="26">
        <v>41477</v>
      </c>
      <c r="GW2" s="26">
        <v>41478</v>
      </c>
      <c r="GX2" s="26">
        <v>41479</v>
      </c>
      <c r="GY2" s="26">
        <v>41480</v>
      </c>
      <c r="GZ2" s="26">
        <v>41481</v>
      </c>
      <c r="HA2" s="26">
        <v>41482</v>
      </c>
      <c r="HB2" s="26">
        <v>41483</v>
      </c>
      <c r="HC2" s="26">
        <v>41484</v>
      </c>
      <c r="HD2" s="26">
        <v>41485</v>
      </c>
      <c r="HE2" s="26">
        <v>41486</v>
      </c>
      <c r="HF2" s="26">
        <v>41487</v>
      </c>
      <c r="HG2" s="26">
        <v>41488</v>
      </c>
      <c r="HH2" s="26">
        <v>41489</v>
      </c>
      <c r="HI2" s="26">
        <v>41490</v>
      </c>
      <c r="HJ2" s="26">
        <v>41491</v>
      </c>
      <c r="HK2" s="26">
        <v>41492</v>
      </c>
      <c r="HL2" s="26">
        <v>41493</v>
      </c>
      <c r="HM2" s="26">
        <v>41494</v>
      </c>
      <c r="HN2" s="26">
        <v>41495</v>
      </c>
      <c r="HO2" s="26">
        <v>41496</v>
      </c>
      <c r="HP2" s="26">
        <v>41497</v>
      </c>
      <c r="HQ2" s="26">
        <v>41498</v>
      </c>
      <c r="HR2" s="26">
        <v>41499</v>
      </c>
      <c r="HS2" s="26">
        <v>41500</v>
      </c>
      <c r="HT2" s="26">
        <v>41501</v>
      </c>
      <c r="HU2" s="26">
        <v>41502</v>
      </c>
      <c r="HV2" s="26">
        <v>41503</v>
      </c>
      <c r="HW2" s="26">
        <v>41504</v>
      </c>
      <c r="HX2" s="26">
        <v>41505</v>
      </c>
      <c r="HY2" s="26">
        <v>41506</v>
      </c>
      <c r="HZ2" s="26">
        <v>41507</v>
      </c>
      <c r="IA2" s="26">
        <v>41508</v>
      </c>
      <c r="IB2" s="26">
        <v>41509</v>
      </c>
      <c r="IC2" s="26">
        <v>41510</v>
      </c>
      <c r="ID2" s="26">
        <v>41511</v>
      </c>
      <c r="IE2" s="26">
        <v>41512</v>
      </c>
      <c r="IF2" s="26">
        <v>41513</v>
      </c>
      <c r="IG2" s="26">
        <v>41514</v>
      </c>
      <c r="IH2" s="26">
        <v>41515</v>
      </c>
      <c r="II2" s="26">
        <v>41516</v>
      </c>
      <c r="IJ2" s="26">
        <v>41517</v>
      </c>
      <c r="IK2" s="26">
        <v>41518</v>
      </c>
      <c r="IL2" s="26">
        <v>41519</v>
      </c>
      <c r="IM2" s="26">
        <v>41520</v>
      </c>
      <c r="IN2" s="26">
        <v>41521</v>
      </c>
      <c r="IO2" s="26">
        <v>41522</v>
      </c>
      <c r="IP2" s="26">
        <v>41523</v>
      </c>
      <c r="IQ2" s="26">
        <v>41524</v>
      </c>
      <c r="IR2" s="26">
        <v>41525</v>
      </c>
      <c r="IS2" s="26">
        <v>41526</v>
      </c>
      <c r="IT2" s="26">
        <v>41527</v>
      </c>
      <c r="IU2" s="26">
        <v>41528</v>
      </c>
      <c r="IV2" s="26">
        <v>41529</v>
      </c>
      <c r="IW2" s="26">
        <v>41530</v>
      </c>
      <c r="IX2" s="26">
        <v>41531</v>
      </c>
      <c r="IY2" s="26">
        <v>41532</v>
      </c>
      <c r="IZ2" s="26">
        <v>41533</v>
      </c>
      <c r="JA2" s="26">
        <v>41534</v>
      </c>
      <c r="JB2" s="26">
        <v>41535</v>
      </c>
      <c r="JC2" s="26">
        <v>41536</v>
      </c>
      <c r="JD2" s="26">
        <v>41537</v>
      </c>
      <c r="JE2" s="26">
        <v>41538</v>
      </c>
      <c r="JF2" s="26">
        <v>41539</v>
      </c>
      <c r="JG2" s="26">
        <v>41540</v>
      </c>
      <c r="JH2" s="26">
        <v>41541</v>
      </c>
      <c r="JI2" s="26">
        <v>41542</v>
      </c>
      <c r="JJ2" s="26">
        <v>41543</v>
      </c>
      <c r="JK2" s="26">
        <v>41544</v>
      </c>
      <c r="JL2" s="26">
        <v>41545</v>
      </c>
      <c r="JM2" s="26">
        <v>41546</v>
      </c>
      <c r="JN2" s="26">
        <v>41547</v>
      </c>
      <c r="JO2" s="26">
        <v>41548</v>
      </c>
      <c r="JP2" s="26">
        <v>41549</v>
      </c>
      <c r="JQ2" s="26">
        <v>41550</v>
      </c>
      <c r="JR2" s="26">
        <v>41551</v>
      </c>
      <c r="JS2" s="26">
        <v>41552</v>
      </c>
      <c r="JT2" s="26">
        <v>41553</v>
      </c>
      <c r="JU2" s="26">
        <v>41554</v>
      </c>
      <c r="JV2" s="26">
        <v>41555</v>
      </c>
      <c r="JW2" s="26">
        <v>41556</v>
      </c>
      <c r="JX2" s="26">
        <v>41557</v>
      </c>
      <c r="JY2" s="26">
        <v>41558</v>
      </c>
      <c r="JZ2" s="26">
        <v>41559</v>
      </c>
      <c r="KA2" s="26">
        <v>41560</v>
      </c>
      <c r="KB2" s="26">
        <v>41561</v>
      </c>
      <c r="KC2" s="26">
        <v>41562</v>
      </c>
      <c r="KD2" s="26">
        <v>41563</v>
      </c>
      <c r="KE2" s="26">
        <v>41564</v>
      </c>
      <c r="KF2" s="26">
        <v>41565</v>
      </c>
      <c r="KG2" s="26">
        <v>41566</v>
      </c>
      <c r="KH2" s="26">
        <v>41567</v>
      </c>
      <c r="KI2" s="26">
        <v>41568</v>
      </c>
      <c r="KJ2" s="26">
        <v>41569</v>
      </c>
      <c r="KK2" s="26">
        <v>41570</v>
      </c>
      <c r="KL2" s="26">
        <v>41571</v>
      </c>
      <c r="KM2" s="26">
        <v>41572</v>
      </c>
      <c r="KN2" s="26">
        <v>41573</v>
      </c>
      <c r="KO2" s="26">
        <v>41574</v>
      </c>
      <c r="KP2" s="26">
        <v>41575</v>
      </c>
      <c r="KQ2" s="26">
        <v>41576</v>
      </c>
      <c r="KR2" s="26">
        <v>41577</v>
      </c>
      <c r="KS2" s="26">
        <v>41578</v>
      </c>
      <c r="KT2" s="26">
        <v>41579</v>
      </c>
      <c r="KU2" s="26">
        <v>41580</v>
      </c>
      <c r="KV2" s="26">
        <v>41581</v>
      </c>
      <c r="KW2" s="26">
        <v>41582</v>
      </c>
      <c r="KX2" s="26">
        <v>41583</v>
      </c>
      <c r="KY2" s="26">
        <v>41584</v>
      </c>
      <c r="KZ2" s="26">
        <v>41585</v>
      </c>
      <c r="LA2" s="26">
        <v>41586</v>
      </c>
      <c r="LB2" s="26">
        <v>41587</v>
      </c>
      <c r="LC2" s="26">
        <v>41588</v>
      </c>
      <c r="LD2" s="26">
        <v>41589</v>
      </c>
      <c r="LE2" s="26">
        <v>41590</v>
      </c>
      <c r="LF2" s="26">
        <v>41591</v>
      </c>
      <c r="LG2" s="26">
        <v>41592</v>
      </c>
      <c r="LH2" s="26">
        <v>41593</v>
      </c>
      <c r="LI2" s="26">
        <v>41594</v>
      </c>
      <c r="LJ2" s="26">
        <v>41595</v>
      </c>
      <c r="LK2" s="26">
        <v>41596</v>
      </c>
      <c r="LL2" s="26">
        <v>41597</v>
      </c>
      <c r="LM2" s="26">
        <v>41598</v>
      </c>
      <c r="LN2" s="26">
        <v>41599</v>
      </c>
      <c r="LO2" s="26">
        <v>41600</v>
      </c>
      <c r="LP2" s="26">
        <v>41601</v>
      </c>
      <c r="LQ2" s="26">
        <v>41602</v>
      </c>
      <c r="LR2" s="26">
        <v>41603</v>
      </c>
      <c r="LS2" s="26">
        <v>41604</v>
      </c>
      <c r="LT2" s="26">
        <v>41605</v>
      </c>
      <c r="LU2" s="26">
        <v>41606</v>
      </c>
      <c r="LV2" s="26">
        <v>41607</v>
      </c>
      <c r="LW2" s="26">
        <v>41608</v>
      </c>
      <c r="LX2" s="26">
        <v>41609</v>
      </c>
      <c r="LY2" s="26">
        <v>41610</v>
      </c>
      <c r="LZ2" s="26">
        <v>41611</v>
      </c>
      <c r="MA2" s="26">
        <v>41612</v>
      </c>
      <c r="MB2" s="26">
        <v>41613</v>
      </c>
      <c r="MC2" s="26">
        <v>41614</v>
      </c>
      <c r="MD2" s="26">
        <v>41615</v>
      </c>
      <c r="ME2" s="26">
        <v>41616</v>
      </c>
      <c r="MF2" s="26">
        <v>41617</v>
      </c>
      <c r="MG2" s="26">
        <v>41618</v>
      </c>
      <c r="MH2" s="26">
        <v>41619</v>
      </c>
      <c r="MI2" s="26">
        <v>41620</v>
      </c>
      <c r="MJ2" s="26">
        <v>41621</v>
      </c>
      <c r="MK2" s="26">
        <v>41622</v>
      </c>
      <c r="ML2" s="26">
        <v>41623</v>
      </c>
      <c r="MM2" s="26">
        <v>41624</v>
      </c>
      <c r="MN2" s="26">
        <v>41625</v>
      </c>
      <c r="MO2" s="26">
        <v>41626</v>
      </c>
      <c r="MP2" s="26">
        <v>41627</v>
      </c>
      <c r="MQ2" s="26">
        <v>41628</v>
      </c>
      <c r="MR2" s="26">
        <v>41629</v>
      </c>
      <c r="MS2" s="26">
        <v>41630</v>
      </c>
      <c r="MT2" s="26">
        <v>41631</v>
      </c>
      <c r="MU2" s="26">
        <v>41632</v>
      </c>
      <c r="MV2" s="26">
        <v>41633</v>
      </c>
      <c r="MW2" s="26">
        <v>41634</v>
      </c>
      <c r="MX2" s="26">
        <v>41635</v>
      </c>
      <c r="MY2" s="26">
        <v>41636</v>
      </c>
      <c r="MZ2" s="26">
        <v>41637</v>
      </c>
      <c r="NA2" s="26">
        <v>41638</v>
      </c>
      <c r="NB2" s="26">
        <v>41639</v>
      </c>
      <c r="NC2" s="25"/>
      <c r="ND2" s="25"/>
      <c r="NE2" s="25"/>
      <c r="NF2" s="34" t="s">
        <v>43</v>
      </c>
      <c r="NG2" s="34" t="s">
        <v>44</v>
      </c>
      <c r="NH2" s="34" t="s">
        <v>45</v>
      </c>
      <c r="NI2" s="34" t="s">
        <v>46</v>
      </c>
      <c r="NJ2" s="34" t="s">
        <v>47</v>
      </c>
      <c r="NK2" s="34" t="s">
        <v>48</v>
      </c>
      <c r="NL2" s="34" t="s">
        <v>49</v>
      </c>
      <c r="NM2" s="34" t="s">
        <v>50</v>
      </c>
      <c r="NN2" s="34" t="s">
        <v>51</v>
      </c>
      <c r="NO2" s="34" t="s">
        <v>52</v>
      </c>
      <c r="NP2" s="34" t="s">
        <v>53</v>
      </c>
      <c r="NQ2" s="34" t="s">
        <v>54</v>
      </c>
      <c r="NT2" s="36" t="s">
        <v>55</v>
      </c>
      <c r="NU2" s="34" t="s">
        <v>43</v>
      </c>
      <c r="NV2" s="34" t="s">
        <v>44</v>
      </c>
      <c r="NW2" s="34" t="s">
        <v>45</v>
      </c>
      <c r="NX2" s="34" t="s">
        <v>46</v>
      </c>
      <c r="NY2" s="34" t="s">
        <v>47</v>
      </c>
      <c r="NZ2" s="34" t="s">
        <v>48</v>
      </c>
      <c r="OA2" s="34" t="s">
        <v>49</v>
      </c>
      <c r="OB2" s="34" t="s">
        <v>50</v>
      </c>
      <c r="OC2" s="34" t="s">
        <v>51</v>
      </c>
      <c r="OD2" s="34" t="s">
        <v>52</v>
      </c>
      <c r="OE2" s="34" t="s">
        <v>53</v>
      </c>
      <c r="OF2" s="34" t="s">
        <v>54</v>
      </c>
    </row>
    <row r="3" spans="1:398" x14ac:dyDescent="0.25">
      <c r="A3" t="s">
        <v>19</v>
      </c>
      <c r="B3">
        <v>3</v>
      </c>
      <c r="C3">
        <v>2</v>
      </c>
      <c r="D3">
        <v>7</v>
      </c>
      <c r="E3">
        <v>4</v>
      </c>
      <c r="F3">
        <v>7</v>
      </c>
      <c r="G3">
        <v>4</v>
      </c>
      <c r="H3">
        <v>1</v>
      </c>
      <c r="I3">
        <v>6</v>
      </c>
      <c r="J3">
        <v>7</v>
      </c>
      <c r="K3">
        <v>4</v>
      </c>
      <c r="L3">
        <v>8</v>
      </c>
      <c r="M3">
        <v>0</v>
      </c>
      <c r="N3">
        <v>1</v>
      </c>
      <c r="O3">
        <v>0</v>
      </c>
      <c r="P3">
        <v>0</v>
      </c>
      <c r="Q3">
        <v>3</v>
      </c>
      <c r="R3">
        <v>5</v>
      </c>
      <c r="S3">
        <v>3</v>
      </c>
      <c r="T3">
        <v>3</v>
      </c>
      <c r="U3">
        <v>3</v>
      </c>
      <c r="V3">
        <v>5</v>
      </c>
      <c r="W3">
        <v>2</v>
      </c>
      <c r="X3">
        <v>2</v>
      </c>
      <c r="Y3">
        <v>3</v>
      </c>
      <c r="Z3">
        <v>0</v>
      </c>
      <c r="AA3">
        <v>4</v>
      </c>
      <c r="AB3">
        <v>2</v>
      </c>
      <c r="AC3">
        <v>6</v>
      </c>
      <c r="AD3">
        <v>4</v>
      </c>
      <c r="AE3">
        <v>6</v>
      </c>
      <c r="AF3">
        <v>6</v>
      </c>
      <c r="AG3">
        <v>4</v>
      </c>
      <c r="AH3">
        <v>8</v>
      </c>
      <c r="AI3">
        <v>8</v>
      </c>
      <c r="AJ3">
        <v>0</v>
      </c>
      <c r="AK3">
        <v>5</v>
      </c>
      <c r="AL3">
        <v>4</v>
      </c>
      <c r="AM3">
        <v>6</v>
      </c>
      <c r="AN3">
        <v>0</v>
      </c>
      <c r="AO3">
        <v>4</v>
      </c>
      <c r="AP3">
        <v>5</v>
      </c>
      <c r="AQ3">
        <v>4</v>
      </c>
      <c r="AR3">
        <v>3</v>
      </c>
      <c r="AS3">
        <v>1</v>
      </c>
      <c r="AT3">
        <v>7</v>
      </c>
      <c r="AU3">
        <v>2</v>
      </c>
      <c r="AV3">
        <v>5</v>
      </c>
      <c r="AW3">
        <v>3</v>
      </c>
      <c r="AX3">
        <v>8</v>
      </c>
      <c r="AY3">
        <v>4</v>
      </c>
      <c r="AZ3">
        <v>2</v>
      </c>
      <c r="BA3">
        <v>5</v>
      </c>
      <c r="BB3">
        <v>0</v>
      </c>
      <c r="BC3">
        <v>6</v>
      </c>
      <c r="BD3">
        <v>3</v>
      </c>
      <c r="BE3">
        <v>7</v>
      </c>
      <c r="BF3">
        <v>4</v>
      </c>
      <c r="BG3">
        <v>1</v>
      </c>
      <c r="BH3">
        <v>6</v>
      </c>
      <c r="BI3">
        <v>4</v>
      </c>
      <c r="BJ3">
        <v>3</v>
      </c>
      <c r="BK3">
        <v>8</v>
      </c>
      <c r="BL3">
        <v>4</v>
      </c>
      <c r="BM3">
        <v>3</v>
      </c>
      <c r="BN3">
        <v>4</v>
      </c>
      <c r="BO3">
        <v>2</v>
      </c>
      <c r="BP3">
        <v>1</v>
      </c>
      <c r="BQ3">
        <v>0</v>
      </c>
      <c r="BR3">
        <v>3</v>
      </c>
      <c r="BS3">
        <v>6</v>
      </c>
      <c r="BT3">
        <v>7</v>
      </c>
      <c r="BU3">
        <v>7</v>
      </c>
      <c r="BV3">
        <v>8</v>
      </c>
      <c r="BW3">
        <v>7</v>
      </c>
      <c r="BX3">
        <v>0</v>
      </c>
      <c r="BY3">
        <v>7</v>
      </c>
      <c r="BZ3">
        <v>5</v>
      </c>
      <c r="CA3">
        <v>2</v>
      </c>
      <c r="CB3">
        <v>3</v>
      </c>
      <c r="CC3">
        <v>8</v>
      </c>
      <c r="CD3">
        <v>5</v>
      </c>
      <c r="CE3">
        <v>5</v>
      </c>
      <c r="CF3">
        <v>1</v>
      </c>
      <c r="CG3">
        <v>8</v>
      </c>
      <c r="CH3">
        <v>8</v>
      </c>
      <c r="CI3">
        <v>1</v>
      </c>
      <c r="CJ3">
        <v>6</v>
      </c>
      <c r="CK3">
        <v>5</v>
      </c>
      <c r="CL3">
        <v>3</v>
      </c>
      <c r="CM3">
        <v>5</v>
      </c>
      <c r="CN3">
        <v>4</v>
      </c>
      <c r="CO3">
        <v>4</v>
      </c>
      <c r="CP3">
        <v>7</v>
      </c>
      <c r="CQ3">
        <v>2</v>
      </c>
      <c r="CR3">
        <v>8</v>
      </c>
      <c r="CS3">
        <v>5</v>
      </c>
      <c r="CT3">
        <v>2</v>
      </c>
      <c r="CU3">
        <v>3</v>
      </c>
      <c r="CV3">
        <v>3</v>
      </c>
      <c r="CW3">
        <v>4</v>
      </c>
      <c r="CX3">
        <v>6</v>
      </c>
      <c r="CY3">
        <v>6</v>
      </c>
      <c r="CZ3">
        <v>6</v>
      </c>
      <c r="DA3">
        <v>3</v>
      </c>
      <c r="DB3">
        <v>7</v>
      </c>
      <c r="DC3">
        <v>7</v>
      </c>
      <c r="DD3">
        <v>1</v>
      </c>
      <c r="DE3">
        <v>4</v>
      </c>
      <c r="DF3">
        <v>7</v>
      </c>
      <c r="DG3">
        <v>8</v>
      </c>
      <c r="DH3">
        <v>0</v>
      </c>
      <c r="DI3">
        <v>5</v>
      </c>
      <c r="DJ3">
        <v>0</v>
      </c>
      <c r="DK3">
        <v>6</v>
      </c>
      <c r="DL3">
        <v>7</v>
      </c>
      <c r="DM3">
        <v>7</v>
      </c>
      <c r="DN3">
        <v>8</v>
      </c>
      <c r="DO3">
        <v>1</v>
      </c>
      <c r="DP3">
        <v>2</v>
      </c>
      <c r="DQ3">
        <v>8</v>
      </c>
      <c r="DR3">
        <v>1</v>
      </c>
      <c r="DS3">
        <v>6</v>
      </c>
      <c r="DT3">
        <v>8</v>
      </c>
      <c r="DU3">
        <v>6</v>
      </c>
      <c r="DV3">
        <v>6</v>
      </c>
      <c r="DW3">
        <v>3</v>
      </c>
      <c r="DX3">
        <v>4</v>
      </c>
      <c r="DY3">
        <v>2</v>
      </c>
      <c r="DZ3">
        <v>8</v>
      </c>
      <c r="EA3">
        <v>3</v>
      </c>
      <c r="EB3">
        <v>4</v>
      </c>
      <c r="EC3">
        <v>4</v>
      </c>
      <c r="ED3">
        <v>1</v>
      </c>
      <c r="EE3">
        <v>1</v>
      </c>
      <c r="EF3">
        <v>3</v>
      </c>
      <c r="EG3">
        <v>5</v>
      </c>
      <c r="EH3">
        <v>5</v>
      </c>
      <c r="EI3">
        <v>8</v>
      </c>
      <c r="EJ3">
        <v>0</v>
      </c>
      <c r="EK3">
        <v>3</v>
      </c>
      <c r="EL3">
        <v>8</v>
      </c>
      <c r="EM3">
        <v>0</v>
      </c>
      <c r="EN3">
        <v>2</v>
      </c>
      <c r="EO3">
        <v>7</v>
      </c>
      <c r="EP3">
        <v>7</v>
      </c>
      <c r="EQ3">
        <v>7</v>
      </c>
      <c r="ER3">
        <v>3</v>
      </c>
      <c r="ES3">
        <v>0</v>
      </c>
      <c r="ET3">
        <v>0</v>
      </c>
      <c r="EU3">
        <v>0</v>
      </c>
      <c r="EV3">
        <v>4</v>
      </c>
      <c r="EW3">
        <v>3</v>
      </c>
      <c r="EX3">
        <v>0</v>
      </c>
      <c r="EY3">
        <v>6</v>
      </c>
      <c r="EZ3">
        <v>8</v>
      </c>
      <c r="FA3">
        <v>0</v>
      </c>
      <c r="FB3">
        <v>3</v>
      </c>
      <c r="FC3">
        <v>6</v>
      </c>
      <c r="FD3">
        <v>7</v>
      </c>
      <c r="FE3">
        <v>6</v>
      </c>
      <c r="FF3">
        <v>4</v>
      </c>
      <c r="FG3">
        <v>8</v>
      </c>
      <c r="FH3">
        <v>7</v>
      </c>
      <c r="FI3">
        <v>3</v>
      </c>
      <c r="FJ3">
        <v>6</v>
      </c>
      <c r="FK3">
        <v>5</v>
      </c>
      <c r="FL3">
        <v>2</v>
      </c>
      <c r="FM3">
        <v>5</v>
      </c>
      <c r="FN3">
        <v>2</v>
      </c>
      <c r="FO3">
        <v>1</v>
      </c>
      <c r="FP3">
        <v>4</v>
      </c>
      <c r="FQ3">
        <v>0</v>
      </c>
      <c r="FR3">
        <v>7</v>
      </c>
      <c r="FS3">
        <v>3</v>
      </c>
      <c r="FT3">
        <v>8</v>
      </c>
      <c r="FU3">
        <v>5</v>
      </c>
      <c r="FV3">
        <v>0</v>
      </c>
      <c r="FW3">
        <v>7</v>
      </c>
      <c r="FX3">
        <v>0</v>
      </c>
      <c r="FY3">
        <v>8</v>
      </c>
      <c r="FZ3">
        <v>0</v>
      </c>
      <c r="GA3">
        <v>7</v>
      </c>
      <c r="GB3">
        <v>6</v>
      </c>
      <c r="GC3">
        <v>4</v>
      </c>
      <c r="GD3">
        <v>3</v>
      </c>
      <c r="GE3">
        <v>6</v>
      </c>
      <c r="GF3">
        <v>8</v>
      </c>
      <c r="GG3">
        <v>3</v>
      </c>
      <c r="GH3">
        <v>2</v>
      </c>
      <c r="GI3">
        <v>3</v>
      </c>
      <c r="GJ3">
        <v>5</v>
      </c>
      <c r="GK3">
        <v>1</v>
      </c>
      <c r="GL3">
        <v>7</v>
      </c>
      <c r="GM3">
        <v>6</v>
      </c>
      <c r="GN3">
        <v>2</v>
      </c>
      <c r="GO3">
        <v>2</v>
      </c>
      <c r="GP3">
        <v>5</v>
      </c>
      <c r="GQ3">
        <v>6</v>
      </c>
      <c r="GR3">
        <v>5</v>
      </c>
      <c r="GS3">
        <v>3</v>
      </c>
      <c r="GT3">
        <v>5</v>
      </c>
      <c r="GU3">
        <v>2</v>
      </c>
      <c r="GV3">
        <v>2</v>
      </c>
      <c r="GW3">
        <v>7</v>
      </c>
      <c r="GX3">
        <v>7</v>
      </c>
      <c r="GY3">
        <v>7</v>
      </c>
      <c r="GZ3">
        <v>1</v>
      </c>
      <c r="HA3">
        <v>1</v>
      </c>
      <c r="HB3">
        <v>8</v>
      </c>
      <c r="HC3">
        <v>3</v>
      </c>
      <c r="HD3">
        <v>7</v>
      </c>
      <c r="HE3">
        <v>2</v>
      </c>
      <c r="HF3">
        <v>1</v>
      </c>
      <c r="HG3">
        <v>3</v>
      </c>
      <c r="HH3">
        <v>1</v>
      </c>
      <c r="HI3">
        <v>3</v>
      </c>
      <c r="HJ3">
        <v>7</v>
      </c>
      <c r="HK3">
        <v>6</v>
      </c>
      <c r="HL3">
        <v>1</v>
      </c>
      <c r="HM3">
        <v>8</v>
      </c>
      <c r="HN3">
        <v>0</v>
      </c>
      <c r="HO3">
        <v>4</v>
      </c>
      <c r="HP3">
        <v>6</v>
      </c>
      <c r="HQ3">
        <v>4</v>
      </c>
      <c r="HR3">
        <v>1</v>
      </c>
      <c r="HS3">
        <v>1</v>
      </c>
      <c r="HT3">
        <v>0</v>
      </c>
      <c r="HU3">
        <v>6</v>
      </c>
      <c r="HV3">
        <v>6</v>
      </c>
      <c r="HW3">
        <v>5</v>
      </c>
      <c r="HX3">
        <v>7</v>
      </c>
      <c r="HY3">
        <v>5</v>
      </c>
      <c r="HZ3">
        <v>8</v>
      </c>
      <c r="IA3">
        <v>0</v>
      </c>
      <c r="IB3">
        <v>8</v>
      </c>
      <c r="IC3">
        <v>1</v>
      </c>
      <c r="ID3">
        <v>8</v>
      </c>
      <c r="IE3">
        <v>1</v>
      </c>
      <c r="IF3">
        <v>7</v>
      </c>
      <c r="IG3">
        <v>1</v>
      </c>
      <c r="IH3">
        <v>3</v>
      </c>
      <c r="II3">
        <v>2</v>
      </c>
      <c r="IJ3">
        <v>2</v>
      </c>
      <c r="IK3">
        <v>0</v>
      </c>
      <c r="IL3">
        <v>1</v>
      </c>
      <c r="IM3">
        <v>6</v>
      </c>
      <c r="IN3">
        <v>5</v>
      </c>
      <c r="IO3">
        <v>6</v>
      </c>
      <c r="IP3">
        <v>2</v>
      </c>
      <c r="IQ3">
        <v>5</v>
      </c>
      <c r="IR3">
        <v>1</v>
      </c>
      <c r="IS3">
        <v>1</v>
      </c>
      <c r="IT3">
        <v>6</v>
      </c>
      <c r="IU3">
        <v>3</v>
      </c>
      <c r="IV3">
        <v>2</v>
      </c>
      <c r="IW3">
        <v>1</v>
      </c>
      <c r="IX3">
        <v>8</v>
      </c>
      <c r="IY3">
        <v>1</v>
      </c>
      <c r="IZ3">
        <v>7</v>
      </c>
      <c r="JA3">
        <v>2</v>
      </c>
      <c r="JB3">
        <v>6</v>
      </c>
      <c r="JC3">
        <v>3</v>
      </c>
      <c r="JD3">
        <v>2</v>
      </c>
      <c r="JE3">
        <v>5</v>
      </c>
      <c r="JF3">
        <v>4</v>
      </c>
      <c r="JG3">
        <v>2</v>
      </c>
      <c r="JH3">
        <v>2</v>
      </c>
      <c r="JI3">
        <v>4</v>
      </c>
      <c r="JJ3">
        <v>5</v>
      </c>
      <c r="JK3">
        <v>4</v>
      </c>
      <c r="JL3">
        <v>5</v>
      </c>
      <c r="JM3">
        <v>5</v>
      </c>
      <c r="JN3">
        <v>7</v>
      </c>
      <c r="JO3">
        <v>8</v>
      </c>
      <c r="JP3">
        <v>1</v>
      </c>
      <c r="JQ3">
        <v>2</v>
      </c>
      <c r="JR3">
        <v>3</v>
      </c>
      <c r="JS3">
        <v>4</v>
      </c>
      <c r="JT3">
        <v>5</v>
      </c>
      <c r="JU3">
        <v>6</v>
      </c>
      <c r="JV3">
        <v>4</v>
      </c>
      <c r="JW3">
        <v>4</v>
      </c>
      <c r="JX3">
        <v>3</v>
      </c>
      <c r="JY3">
        <v>6</v>
      </c>
      <c r="JZ3">
        <v>2</v>
      </c>
      <c r="KA3">
        <v>0</v>
      </c>
      <c r="KB3">
        <v>7</v>
      </c>
      <c r="KC3">
        <v>8</v>
      </c>
      <c r="KD3">
        <v>2</v>
      </c>
      <c r="KE3">
        <v>1</v>
      </c>
      <c r="KF3">
        <v>5</v>
      </c>
      <c r="KG3">
        <v>7</v>
      </c>
      <c r="KH3">
        <v>1</v>
      </c>
      <c r="KI3">
        <v>0</v>
      </c>
      <c r="KJ3">
        <v>6</v>
      </c>
      <c r="KK3">
        <v>3</v>
      </c>
      <c r="KL3">
        <v>2</v>
      </c>
      <c r="KM3">
        <v>7</v>
      </c>
      <c r="KN3">
        <v>5</v>
      </c>
      <c r="KO3">
        <v>8</v>
      </c>
      <c r="KP3">
        <v>6</v>
      </c>
      <c r="KQ3">
        <v>5</v>
      </c>
      <c r="KR3">
        <v>3</v>
      </c>
      <c r="KS3">
        <v>0</v>
      </c>
      <c r="KT3">
        <v>3</v>
      </c>
      <c r="KU3">
        <v>1</v>
      </c>
      <c r="KV3">
        <v>4</v>
      </c>
      <c r="KW3">
        <v>5</v>
      </c>
      <c r="KX3">
        <v>8</v>
      </c>
      <c r="KY3">
        <v>1</v>
      </c>
      <c r="KZ3">
        <v>3</v>
      </c>
      <c r="LA3">
        <v>5</v>
      </c>
      <c r="LB3">
        <v>2</v>
      </c>
      <c r="LC3">
        <v>3</v>
      </c>
      <c r="LD3">
        <v>0</v>
      </c>
      <c r="LE3">
        <v>8</v>
      </c>
      <c r="LF3">
        <v>4</v>
      </c>
      <c r="LG3">
        <v>6</v>
      </c>
      <c r="LH3">
        <v>3</v>
      </c>
      <c r="LI3">
        <v>6</v>
      </c>
      <c r="LJ3">
        <v>6</v>
      </c>
      <c r="LK3">
        <v>6</v>
      </c>
      <c r="LL3">
        <v>1</v>
      </c>
      <c r="LM3">
        <v>2</v>
      </c>
      <c r="LN3">
        <v>5</v>
      </c>
      <c r="LO3">
        <v>2</v>
      </c>
      <c r="LP3">
        <v>0</v>
      </c>
      <c r="LQ3">
        <v>6</v>
      </c>
      <c r="LR3">
        <v>6</v>
      </c>
      <c r="LS3">
        <v>8</v>
      </c>
      <c r="LT3">
        <v>7</v>
      </c>
      <c r="LU3">
        <v>4</v>
      </c>
      <c r="LV3">
        <v>2</v>
      </c>
      <c r="LW3">
        <v>1</v>
      </c>
      <c r="LX3">
        <v>7</v>
      </c>
      <c r="LY3">
        <v>0</v>
      </c>
      <c r="LZ3">
        <v>8</v>
      </c>
      <c r="MA3">
        <v>3</v>
      </c>
      <c r="MB3">
        <v>6</v>
      </c>
      <c r="MC3">
        <v>7</v>
      </c>
      <c r="MD3">
        <v>0</v>
      </c>
      <c r="ME3">
        <v>2</v>
      </c>
      <c r="MF3">
        <v>5</v>
      </c>
      <c r="MG3">
        <v>3</v>
      </c>
      <c r="MH3">
        <v>8</v>
      </c>
      <c r="MI3">
        <v>8</v>
      </c>
      <c r="MJ3">
        <v>5</v>
      </c>
      <c r="MK3">
        <v>1</v>
      </c>
      <c r="ML3">
        <v>2</v>
      </c>
      <c r="MM3">
        <v>3</v>
      </c>
      <c r="MN3">
        <v>8</v>
      </c>
      <c r="MO3">
        <v>2</v>
      </c>
      <c r="MP3">
        <v>4</v>
      </c>
      <c r="MQ3">
        <v>2</v>
      </c>
      <c r="MR3">
        <v>2</v>
      </c>
      <c r="MS3">
        <v>8</v>
      </c>
      <c r="MT3">
        <v>4</v>
      </c>
      <c r="MU3">
        <v>7</v>
      </c>
      <c r="MV3">
        <v>0</v>
      </c>
      <c r="MW3">
        <v>2</v>
      </c>
      <c r="MX3">
        <v>8</v>
      </c>
      <c r="MY3">
        <v>1</v>
      </c>
      <c r="MZ3">
        <v>1</v>
      </c>
      <c r="NA3">
        <v>7</v>
      </c>
      <c r="NB3">
        <v>6</v>
      </c>
      <c r="NE3" s="35" t="str">
        <f>A3</f>
        <v>D. Rahul</v>
      </c>
      <c r="NF3" s="5">
        <f>SUMIF($B$1:$NB$1,NF$1,$B3:$NB3)</f>
        <v>111</v>
      </c>
      <c r="NG3" s="5">
        <f t="shared" ref="NG3:NQ3" si="6">SUMIF($B$1:$NB$1,NG$1,$B3:$NB3)</f>
        <v>115</v>
      </c>
      <c r="NH3" s="5">
        <f t="shared" si="6"/>
        <v>139</v>
      </c>
      <c r="NI3" s="5">
        <f t="shared" si="6"/>
        <v>141</v>
      </c>
      <c r="NJ3" s="5">
        <f t="shared" si="6"/>
        <v>119</v>
      </c>
      <c r="NK3" s="5">
        <f t="shared" si="6"/>
        <v>124</v>
      </c>
      <c r="NL3" s="5">
        <f t="shared" si="6"/>
        <v>136</v>
      </c>
      <c r="NM3" s="5">
        <f t="shared" si="6"/>
        <v>116</v>
      </c>
      <c r="NN3" s="5">
        <f t="shared" si="6"/>
        <v>111</v>
      </c>
      <c r="NO3" s="5">
        <f t="shared" si="6"/>
        <v>124</v>
      </c>
      <c r="NP3" s="5">
        <f t="shared" si="6"/>
        <v>118</v>
      </c>
      <c r="NQ3" s="5">
        <f t="shared" si="6"/>
        <v>130</v>
      </c>
      <c r="NS3" t="str">
        <f>NE3</f>
        <v>D. Rahul</v>
      </c>
      <c r="NT3" s="38">
        <v>100</v>
      </c>
      <c r="NU3" s="37">
        <f>$NT3*NF3</f>
        <v>11100</v>
      </c>
      <c r="NV3" s="37">
        <f t="shared" ref="NV3:OF10" si="7">$NT3*NG3</f>
        <v>11500</v>
      </c>
      <c r="NW3" s="37">
        <f t="shared" si="7"/>
        <v>13900</v>
      </c>
      <c r="NX3" s="37">
        <f t="shared" si="7"/>
        <v>14100</v>
      </c>
      <c r="NY3" s="37">
        <f t="shared" si="7"/>
        <v>11900</v>
      </c>
      <c r="NZ3" s="37">
        <f t="shared" si="7"/>
        <v>12400</v>
      </c>
      <c r="OA3" s="37">
        <f t="shared" si="7"/>
        <v>13600</v>
      </c>
      <c r="OB3" s="37">
        <f t="shared" si="7"/>
        <v>11600</v>
      </c>
      <c r="OC3" s="37">
        <f t="shared" si="7"/>
        <v>11100</v>
      </c>
      <c r="OD3" s="37">
        <f t="shared" si="7"/>
        <v>12400</v>
      </c>
      <c r="OE3" s="37">
        <f t="shared" si="7"/>
        <v>11800</v>
      </c>
      <c r="OF3" s="37">
        <f t="shared" si="7"/>
        <v>13000</v>
      </c>
      <c r="OH3" s="40" t="str">
        <f>IF(NS3="D.Rahul","YES","No")</f>
        <v>No</v>
      </c>
    </row>
    <row r="4" spans="1:398" x14ac:dyDescent="0.25">
      <c r="A4" t="s">
        <v>20</v>
      </c>
      <c r="B4">
        <v>8</v>
      </c>
      <c r="C4">
        <v>2</v>
      </c>
      <c r="D4">
        <v>6</v>
      </c>
      <c r="E4">
        <v>0</v>
      </c>
      <c r="F4">
        <v>4</v>
      </c>
      <c r="G4">
        <v>5</v>
      </c>
      <c r="H4">
        <v>2</v>
      </c>
      <c r="I4">
        <v>6</v>
      </c>
      <c r="J4">
        <v>6</v>
      </c>
      <c r="K4">
        <v>2</v>
      </c>
      <c r="L4">
        <v>2</v>
      </c>
      <c r="M4">
        <v>8</v>
      </c>
      <c r="N4">
        <v>1</v>
      </c>
      <c r="O4">
        <v>2</v>
      </c>
      <c r="P4">
        <v>3</v>
      </c>
      <c r="Q4">
        <v>3</v>
      </c>
      <c r="R4">
        <v>0</v>
      </c>
      <c r="S4">
        <v>7</v>
      </c>
      <c r="T4">
        <v>0</v>
      </c>
      <c r="U4">
        <v>8</v>
      </c>
      <c r="V4">
        <v>3</v>
      </c>
      <c r="W4">
        <v>2</v>
      </c>
      <c r="X4">
        <v>3</v>
      </c>
      <c r="Y4">
        <v>1</v>
      </c>
      <c r="Z4">
        <v>4</v>
      </c>
      <c r="AA4">
        <v>8</v>
      </c>
      <c r="AB4">
        <v>0</v>
      </c>
      <c r="AC4">
        <v>1</v>
      </c>
      <c r="AD4">
        <v>6</v>
      </c>
      <c r="AE4">
        <v>4</v>
      </c>
      <c r="AF4">
        <v>4</v>
      </c>
      <c r="AG4">
        <v>0</v>
      </c>
      <c r="AH4">
        <v>7</v>
      </c>
      <c r="AI4">
        <v>7</v>
      </c>
      <c r="AJ4">
        <v>8</v>
      </c>
      <c r="AK4">
        <v>5</v>
      </c>
      <c r="AL4">
        <v>8</v>
      </c>
      <c r="AM4">
        <v>2</v>
      </c>
      <c r="AN4">
        <v>1</v>
      </c>
      <c r="AO4">
        <v>7</v>
      </c>
      <c r="AP4">
        <v>5</v>
      </c>
      <c r="AQ4">
        <v>5</v>
      </c>
      <c r="AR4">
        <v>6</v>
      </c>
      <c r="AS4">
        <v>0</v>
      </c>
      <c r="AT4">
        <v>5</v>
      </c>
      <c r="AU4">
        <v>1</v>
      </c>
      <c r="AV4">
        <v>4</v>
      </c>
      <c r="AW4">
        <v>4</v>
      </c>
      <c r="AX4">
        <v>7</v>
      </c>
      <c r="AY4">
        <v>5</v>
      </c>
      <c r="AZ4">
        <v>5</v>
      </c>
      <c r="BA4">
        <v>2</v>
      </c>
      <c r="BB4">
        <v>5</v>
      </c>
      <c r="BC4">
        <v>6</v>
      </c>
      <c r="BD4">
        <v>7</v>
      </c>
      <c r="BE4">
        <v>6</v>
      </c>
      <c r="BF4">
        <v>7</v>
      </c>
      <c r="BG4">
        <v>1</v>
      </c>
      <c r="BH4">
        <v>7</v>
      </c>
      <c r="BI4">
        <v>6</v>
      </c>
      <c r="BJ4">
        <v>1</v>
      </c>
      <c r="BK4">
        <v>2</v>
      </c>
      <c r="BL4">
        <v>5</v>
      </c>
      <c r="BM4">
        <v>8</v>
      </c>
      <c r="BN4">
        <v>5</v>
      </c>
      <c r="BO4">
        <v>5</v>
      </c>
      <c r="BP4">
        <v>5</v>
      </c>
      <c r="BQ4">
        <v>6</v>
      </c>
      <c r="BR4">
        <v>3</v>
      </c>
      <c r="BS4">
        <v>1</v>
      </c>
      <c r="BT4">
        <v>0</v>
      </c>
      <c r="BU4">
        <v>2</v>
      </c>
      <c r="BV4">
        <v>3</v>
      </c>
      <c r="BW4">
        <v>8</v>
      </c>
      <c r="BX4">
        <v>0</v>
      </c>
      <c r="BY4">
        <v>3</v>
      </c>
      <c r="BZ4">
        <v>3</v>
      </c>
      <c r="CA4">
        <v>5</v>
      </c>
      <c r="CB4">
        <v>2</v>
      </c>
      <c r="CC4">
        <v>2</v>
      </c>
      <c r="CD4">
        <v>2</v>
      </c>
      <c r="CE4">
        <v>7</v>
      </c>
      <c r="CF4">
        <v>4</v>
      </c>
      <c r="CG4">
        <v>1</v>
      </c>
      <c r="CH4">
        <v>3</v>
      </c>
      <c r="CI4">
        <v>2</v>
      </c>
      <c r="CJ4">
        <v>7</v>
      </c>
      <c r="CK4">
        <v>1</v>
      </c>
      <c r="CL4">
        <v>0</v>
      </c>
      <c r="CM4">
        <v>0</v>
      </c>
      <c r="CN4">
        <v>8</v>
      </c>
      <c r="CO4">
        <v>6</v>
      </c>
      <c r="CP4">
        <v>7</v>
      </c>
      <c r="CQ4">
        <v>1</v>
      </c>
      <c r="CR4">
        <v>3</v>
      </c>
      <c r="CS4">
        <v>2</v>
      </c>
      <c r="CT4">
        <v>0</v>
      </c>
      <c r="CU4">
        <v>3</v>
      </c>
      <c r="CV4">
        <v>0</v>
      </c>
      <c r="CW4">
        <v>7</v>
      </c>
      <c r="CX4">
        <v>8</v>
      </c>
      <c r="CY4">
        <v>1</v>
      </c>
      <c r="CZ4">
        <v>5</v>
      </c>
      <c r="DA4">
        <v>3</v>
      </c>
      <c r="DB4">
        <v>0</v>
      </c>
      <c r="DC4">
        <v>6</v>
      </c>
      <c r="DD4">
        <v>4</v>
      </c>
      <c r="DE4">
        <v>3</v>
      </c>
      <c r="DF4">
        <v>8</v>
      </c>
      <c r="DG4">
        <v>2</v>
      </c>
      <c r="DH4">
        <v>6</v>
      </c>
      <c r="DI4">
        <v>8</v>
      </c>
      <c r="DJ4">
        <v>5</v>
      </c>
      <c r="DK4">
        <v>5</v>
      </c>
      <c r="DL4">
        <v>1</v>
      </c>
      <c r="DM4">
        <v>3</v>
      </c>
      <c r="DN4">
        <v>5</v>
      </c>
      <c r="DO4">
        <v>6</v>
      </c>
      <c r="DP4">
        <v>1</v>
      </c>
      <c r="DQ4">
        <v>6</v>
      </c>
      <c r="DR4">
        <v>6</v>
      </c>
      <c r="DS4">
        <v>0</v>
      </c>
      <c r="DT4">
        <v>6</v>
      </c>
      <c r="DU4">
        <v>2</v>
      </c>
      <c r="DV4">
        <v>7</v>
      </c>
      <c r="DW4">
        <v>3</v>
      </c>
      <c r="DX4">
        <v>6</v>
      </c>
      <c r="DY4">
        <v>4</v>
      </c>
      <c r="DZ4">
        <v>0</v>
      </c>
      <c r="EA4">
        <v>0</v>
      </c>
      <c r="EB4">
        <v>8</v>
      </c>
      <c r="EC4">
        <v>4</v>
      </c>
      <c r="ED4">
        <v>7</v>
      </c>
      <c r="EE4">
        <v>4</v>
      </c>
      <c r="EF4">
        <v>1</v>
      </c>
      <c r="EG4">
        <v>0</v>
      </c>
      <c r="EH4">
        <v>3</v>
      </c>
      <c r="EI4">
        <v>3</v>
      </c>
      <c r="EJ4">
        <v>6</v>
      </c>
      <c r="EK4">
        <v>5</v>
      </c>
      <c r="EL4">
        <v>8</v>
      </c>
      <c r="EM4">
        <v>2</v>
      </c>
      <c r="EN4">
        <v>2</v>
      </c>
      <c r="EO4">
        <v>7</v>
      </c>
      <c r="EP4">
        <v>7</v>
      </c>
      <c r="EQ4">
        <v>5</v>
      </c>
      <c r="ER4">
        <v>7</v>
      </c>
      <c r="ES4">
        <v>5</v>
      </c>
      <c r="ET4">
        <v>1</v>
      </c>
      <c r="EU4">
        <v>7</v>
      </c>
      <c r="EV4">
        <v>1</v>
      </c>
      <c r="EW4">
        <v>1</v>
      </c>
      <c r="EX4">
        <v>3</v>
      </c>
      <c r="EY4">
        <v>6</v>
      </c>
      <c r="EZ4">
        <v>5</v>
      </c>
      <c r="FA4">
        <v>6</v>
      </c>
      <c r="FB4">
        <v>2</v>
      </c>
      <c r="FC4">
        <v>0</v>
      </c>
      <c r="FD4">
        <v>0</v>
      </c>
      <c r="FE4">
        <v>8</v>
      </c>
      <c r="FF4">
        <v>8</v>
      </c>
      <c r="FG4">
        <v>2</v>
      </c>
      <c r="FH4">
        <v>4</v>
      </c>
      <c r="FI4">
        <v>4</v>
      </c>
      <c r="FJ4">
        <v>0</v>
      </c>
      <c r="FK4">
        <v>6</v>
      </c>
      <c r="FL4">
        <v>4</v>
      </c>
      <c r="FM4">
        <v>7</v>
      </c>
      <c r="FN4">
        <v>6</v>
      </c>
      <c r="FO4">
        <v>2</v>
      </c>
      <c r="FP4">
        <v>5</v>
      </c>
      <c r="FQ4">
        <v>6</v>
      </c>
      <c r="FR4">
        <v>6</v>
      </c>
      <c r="FS4">
        <v>8</v>
      </c>
      <c r="FT4">
        <v>7</v>
      </c>
      <c r="FU4">
        <v>3</v>
      </c>
      <c r="FV4">
        <v>1</v>
      </c>
      <c r="FW4">
        <v>8</v>
      </c>
      <c r="FX4">
        <v>6</v>
      </c>
      <c r="FY4">
        <v>4</v>
      </c>
      <c r="FZ4">
        <v>7</v>
      </c>
      <c r="GA4">
        <v>5</v>
      </c>
      <c r="GB4">
        <v>5</v>
      </c>
      <c r="GC4">
        <v>0</v>
      </c>
      <c r="GD4">
        <v>3</v>
      </c>
      <c r="GE4">
        <v>0</v>
      </c>
      <c r="GF4">
        <v>5</v>
      </c>
      <c r="GG4">
        <v>8</v>
      </c>
      <c r="GH4">
        <v>7</v>
      </c>
      <c r="GI4">
        <v>2</v>
      </c>
      <c r="GJ4">
        <v>8</v>
      </c>
      <c r="GK4">
        <v>0</v>
      </c>
      <c r="GL4">
        <v>1</v>
      </c>
      <c r="GM4">
        <v>5</v>
      </c>
      <c r="GN4">
        <v>1</v>
      </c>
      <c r="GO4">
        <v>6</v>
      </c>
      <c r="GP4">
        <v>6</v>
      </c>
      <c r="GQ4">
        <v>3</v>
      </c>
      <c r="GR4">
        <v>1</v>
      </c>
      <c r="GS4">
        <v>7</v>
      </c>
      <c r="GT4">
        <v>6</v>
      </c>
      <c r="GU4">
        <v>3</v>
      </c>
      <c r="GV4">
        <v>5</v>
      </c>
      <c r="GW4">
        <v>8</v>
      </c>
      <c r="GX4">
        <v>5</v>
      </c>
      <c r="GY4">
        <v>4</v>
      </c>
      <c r="GZ4">
        <v>3</v>
      </c>
      <c r="HA4">
        <v>5</v>
      </c>
      <c r="HB4">
        <v>6</v>
      </c>
      <c r="HC4">
        <v>1</v>
      </c>
      <c r="HD4">
        <v>4</v>
      </c>
      <c r="HE4">
        <v>8</v>
      </c>
      <c r="HF4">
        <v>6</v>
      </c>
      <c r="HG4">
        <v>2</v>
      </c>
      <c r="HH4">
        <v>3</v>
      </c>
      <c r="HI4">
        <v>6</v>
      </c>
      <c r="HJ4">
        <v>4</v>
      </c>
      <c r="HK4">
        <v>4</v>
      </c>
      <c r="HL4">
        <v>3</v>
      </c>
      <c r="HM4">
        <v>5</v>
      </c>
      <c r="HN4">
        <v>8</v>
      </c>
      <c r="HO4">
        <v>6</v>
      </c>
      <c r="HP4">
        <v>6</v>
      </c>
      <c r="HQ4">
        <v>0</v>
      </c>
      <c r="HR4">
        <v>3</v>
      </c>
      <c r="HS4">
        <v>4</v>
      </c>
      <c r="HT4">
        <v>8</v>
      </c>
      <c r="HU4">
        <v>4</v>
      </c>
      <c r="HV4">
        <v>3</v>
      </c>
      <c r="HW4">
        <v>2</v>
      </c>
      <c r="HX4">
        <v>2</v>
      </c>
      <c r="HY4">
        <v>3</v>
      </c>
      <c r="HZ4">
        <v>6</v>
      </c>
      <c r="IA4">
        <v>4</v>
      </c>
      <c r="IB4">
        <v>1</v>
      </c>
      <c r="IC4">
        <v>7</v>
      </c>
      <c r="ID4">
        <v>1</v>
      </c>
      <c r="IE4">
        <v>1</v>
      </c>
      <c r="IF4">
        <v>0</v>
      </c>
      <c r="IG4">
        <v>6</v>
      </c>
      <c r="IH4">
        <v>4</v>
      </c>
      <c r="II4">
        <v>4</v>
      </c>
      <c r="IJ4">
        <v>7</v>
      </c>
      <c r="IK4">
        <v>2</v>
      </c>
      <c r="IL4">
        <v>2</v>
      </c>
      <c r="IM4">
        <v>0</v>
      </c>
      <c r="IN4">
        <v>7</v>
      </c>
      <c r="IO4">
        <v>1</v>
      </c>
      <c r="IP4">
        <v>5</v>
      </c>
      <c r="IQ4">
        <v>0</v>
      </c>
      <c r="IR4">
        <v>8</v>
      </c>
      <c r="IS4">
        <v>8</v>
      </c>
      <c r="IT4">
        <v>4</v>
      </c>
      <c r="IU4">
        <v>7</v>
      </c>
      <c r="IV4">
        <v>1</v>
      </c>
      <c r="IW4">
        <v>2</v>
      </c>
      <c r="IX4">
        <v>8</v>
      </c>
      <c r="IY4">
        <v>3</v>
      </c>
      <c r="IZ4">
        <v>0</v>
      </c>
      <c r="JA4">
        <v>8</v>
      </c>
      <c r="JB4">
        <v>0</v>
      </c>
      <c r="JC4">
        <v>2</v>
      </c>
      <c r="JD4">
        <v>0</v>
      </c>
      <c r="JE4">
        <v>0</v>
      </c>
      <c r="JF4">
        <v>4</v>
      </c>
      <c r="JG4">
        <v>5</v>
      </c>
      <c r="JH4">
        <v>6</v>
      </c>
      <c r="JI4">
        <v>4</v>
      </c>
      <c r="JJ4">
        <v>5</v>
      </c>
      <c r="JK4">
        <v>8</v>
      </c>
      <c r="JL4">
        <v>7</v>
      </c>
      <c r="JM4">
        <v>3</v>
      </c>
      <c r="JN4">
        <v>0</v>
      </c>
      <c r="JO4">
        <v>3</v>
      </c>
      <c r="JP4">
        <v>6</v>
      </c>
      <c r="JQ4">
        <v>0</v>
      </c>
      <c r="JR4">
        <v>3</v>
      </c>
      <c r="JS4">
        <v>6</v>
      </c>
      <c r="JT4">
        <v>8</v>
      </c>
      <c r="JU4">
        <v>7</v>
      </c>
      <c r="JV4">
        <v>1</v>
      </c>
      <c r="JW4">
        <v>8</v>
      </c>
      <c r="JX4">
        <v>8</v>
      </c>
      <c r="JY4">
        <v>0</v>
      </c>
      <c r="JZ4">
        <v>3</v>
      </c>
      <c r="KA4">
        <v>3</v>
      </c>
      <c r="KB4">
        <v>3</v>
      </c>
      <c r="KC4">
        <v>5</v>
      </c>
      <c r="KD4">
        <v>1</v>
      </c>
      <c r="KE4">
        <v>4</v>
      </c>
      <c r="KF4">
        <v>7</v>
      </c>
      <c r="KG4">
        <v>7</v>
      </c>
      <c r="KH4">
        <v>4</v>
      </c>
      <c r="KI4">
        <v>4</v>
      </c>
      <c r="KJ4">
        <v>0</v>
      </c>
      <c r="KK4">
        <v>1</v>
      </c>
      <c r="KL4">
        <v>0</v>
      </c>
      <c r="KM4">
        <v>7</v>
      </c>
      <c r="KN4">
        <v>3</v>
      </c>
      <c r="KO4">
        <v>3</v>
      </c>
      <c r="KP4">
        <v>6</v>
      </c>
      <c r="KQ4">
        <v>7</v>
      </c>
      <c r="KR4">
        <v>6</v>
      </c>
      <c r="KS4">
        <v>2</v>
      </c>
      <c r="KT4">
        <v>4</v>
      </c>
      <c r="KU4">
        <v>8</v>
      </c>
      <c r="KV4">
        <v>0</v>
      </c>
      <c r="KW4">
        <v>8</v>
      </c>
      <c r="KX4">
        <v>8</v>
      </c>
      <c r="KY4">
        <v>7</v>
      </c>
      <c r="KZ4">
        <v>6</v>
      </c>
      <c r="LA4">
        <v>2</v>
      </c>
      <c r="LB4">
        <v>4</v>
      </c>
      <c r="LC4">
        <v>8</v>
      </c>
      <c r="LD4">
        <v>5</v>
      </c>
      <c r="LE4">
        <v>0</v>
      </c>
      <c r="LF4">
        <v>2</v>
      </c>
      <c r="LG4">
        <v>2</v>
      </c>
      <c r="LH4">
        <v>6</v>
      </c>
      <c r="LI4">
        <v>4</v>
      </c>
      <c r="LJ4">
        <v>3</v>
      </c>
      <c r="LK4">
        <v>7</v>
      </c>
      <c r="LL4">
        <v>7</v>
      </c>
      <c r="LM4">
        <v>8</v>
      </c>
      <c r="LN4">
        <v>3</v>
      </c>
      <c r="LO4">
        <v>6</v>
      </c>
      <c r="LP4">
        <v>8</v>
      </c>
      <c r="LQ4">
        <v>0</v>
      </c>
      <c r="LR4">
        <v>3</v>
      </c>
      <c r="LS4">
        <v>6</v>
      </c>
      <c r="LT4">
        <v>5</v>
      </c>
      <c r="LU4">
        <v>1</v>
      </c>
      <c r="LV4">
        <v>4</v>
      </c>
      <c r="LW4">
        <v>1</v>
      </c>
      <c r="LX4">
        <v>6</v>
      </c>
      <c r="LY4">
        <v>5</v>
      </c>
      <c r="LZ4">
        <v>4</v>
      </c>
      <c r="MA4">
        <v>8</v>
      </c>
      <c r="MB4">
        <v>5</v>
      </c>
      <c r="MC4">
        <v>2</v>
      </c>
      <c r="MD4">
        <v>0</v>
      </c>
      <c r="ME4">
        <v>8</v>
      </c>
      <c r="MF4">
        <v>7</v>
      </c>
      <c r="MG4">
        <v>4</v>
      </c>
      <c r="MH4">
        <v>3</v>
      </c>
      <c r="MI4">
        <v>0</v>
      </c>
      <c r="MJ4">
        <v>1</v>
      </c>
      <c r="MK4">
        <v>2</v>
      </c>
      <c r="ML4">
        <v>7</v>
      </c>
      <c r="MM4">
        <v>1</v>
      </c>
      <c r="MN4">
        <v>3</v>
      </c>
      <c r="MO4">
        <v>7</v>
      </c>
      <c r="MP4">
        <v>5</v>
      </c>
      <c r="MQ4">
        <v>7</v>
      </c>
      <c r="MR4">
        <v>3</v>
      </c>
      <c r="MS4">
        <v>5</v>
      </c>
      <c r="MT4">
        <v>5</v>
      </c>
      <c r="MU4">
        <v>4</v>
      </c>
      <c r="MV4">
        <v>8</v>
      </c>
      <c r="MW4">
        <v>0</v>
      </c>
      <c r="MX4">
        <v>4</v>
      </c>
      <c r="MY4">
        <v>6</v>
      </c>
      <c r="MZ4">
        <v>1</v>
      </c>
      <c r="NA4">
        <v>7</v>
      </c>
      <c r="NB4">
        <v>3</v>
      </c>
      <c r="NE4" s="35" t="str">
        <f t="shared" ref="NE4:NE10" si="8">A4</f>
        <v>M. Nisha</v>
      </c>
      <c r="NF4" s="5">
        <f t="shared" ref="NF4:NQ10" si="9">SUMIF($B$1:$NB$1,NF$1,$B4:$NB4)</f>
        <v>111</v>
      </c>
      <c r="NG4" s="5">
        <f t="shared" si="9"/>
        <v>133</v>
      </c>
      <c r="NH4" s="5">
        <f t="shared" si="9"/>
        <v>102</v>
      </c>
      <c r="NI4" s="5">
        <f t="shared" si="9"/>
        <v>123</v>
      </c>
      <c r="NJ4" s="5">
        <f t="shared" si="9"/>
        <v>127</v>
      </c>
      <c r="NK4" s="5">
        <f t="shared" si="9"/>
        <v>135</v>
      </c>
      <c r="NL4" s="5">
        <f t="shared" si="9"/>
        <v>131</v>
      </c>
      <c r="NM4" s="5">
        <f t="shared" si="9"/>
        <v>123</v>
      </c>
      <c r="NN4" s="5">
        <f t="shared" si="9"/>
        <v>110</v>
      </c>
      <c r="NO4" s="5">
        <f t="shared" si="9"/>
        <v>126</v>
      </c>
      <c r="NP4" s="5">
        <f t="shared" si="9"/>
        <v>136</v>
      </c>
      <c r="NQ4" s="5">
        <f t="shared" si="9"/>
        <v>131</v>
      </c>
      <c r="NS4" t="str">
        <f t="shared" ref="NS4:NS10" si="10">NE4</f>
        <v>M. Nisha</v>
      </c>
      <c r="NT4" s="38">
        <v>75</v>
      </c>
      <c r="NU4" s="37">
        <f t="shared" ref="NU4:NU10" si="11">$NT4*NF4</f>
        <v>8325</v>
      </c>
      <c r="NV4" s="37">
        <f t="shared" si="7"/>
        <v>9975</v>
      </c>
      <c r="NW4" s="37">
        <f t="shared" si="7"/>
        <v>7650</v>
      </c>
      <c r="NX4" s="37">
        <f t="shared" si="7"/>
        <v>9225</v>
      </c>
      <c r="NY4" s="37">
        <f t="shared" si="7"/>
        <v>9525</v>
      </c>
      <c r="NZ4" s="37">
        <f t="shared" si="7"/>
        <v>10125</v>
      </c>
      <c r="OA4" s="37">
        <f t="shared" si="7"/>
        <v>9825</v>
      </c>
      <c r="OB4" s="37">
        <f t="shared" si="7"/>
        <v>9225</v>
      </c>
      <c r="OC4" s="37">
        <f t="shared" si="7"/>
        <v>8250</v>
      </c>
      <c r="OD4" s="37">
        <f t="shared" si="7"/>
        <v>9450</v>
      </c>
      <c r="OE4" s="37">
        <f t="shared" si="7"/>
        <v>10200</v>
      </c>
      <c r="OF4" s="37">
        <f t="shared" si="7"/>
        <v>9825</v>
      </c>
      <c r="OH4" s="39" t="str">
        <f t="shared" ref="OH4:OH10" si="12">IF(OF4&gt;12000,"Above","Below")</f>
        <v>Below</v>
      </c>
    </row>
    <row r="5" spans="1:398" x14ac:dyDescent="0.25">
      <c r="A5" t="s">
        <v>21</v>
      </c>
      <c r="B5">
        <v>7</v>
      </c>
      <c r="C5">
        <v>5</v>
      </c>
      <c r="D5">
        <v>0</v>
      </c>
      <c r="E5">
        <v>7</v>
      </c>
      <c r="F5">
        <v>1</v>
      </c>
      <c r="G5">
        <v>7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7</v>
      </c>
      <c r="O5">
        <v>4</v>
      </c>
      <c r="P5">
        <v>8</v>
      </c>
      <c r="Q5">
        <v>6</v>
      </c>
      <c r="R5">
        <v>7</v>
      </c>
      <c r="S5">
        <v>8</v>
      </c>
      <c r="T5">
        <v>0</v>
      </c>
      <c r="U5">
        <v>6</v>
      </c>
      <c r="V5">
        <v>5</v>
      </c>
      <c r="W5">
        <v>4</v>
      </c>
      <c r="X5">
        <v>6</v>
      </c>
      <c r="Y5">
        <v>7</v>
      </c>
      <c r="Z5">
        <v>6</v>
      </c>
      <c r="AA5">
        <v>5</v>
      </c>
      <c r="AB5">
        <v>7</v>
      </c>
      <c r="AC5">
        <v>6</v>
      </c>
      <c r="AD5">
        <v>1</v>
      </c>
      <c r="AE5">
        <v>6</v>
      </c>
      <c r="AF5">
        <v>7</v>
      </c>
      <c r="AG5">
        <v>6</v>
      </c>
      <c r="AH5">
        <v>7</v>
      </c>
      <c r="AI5">
        <v>7</v>
      </c>
      <c r="AJ5">
        <v>7</v>
      </c>
      <c r="AK5">
        <v>2</v>
      </c>
      <c r="AL5">
        <v>1</v>
      </c>
      <c r="AM5">
        <v>8</v>
      </c>
      <c r="AN5">
        <v>5</v>
      </c>
      <c r="AO5">
        <v>8</v>
      </c>
      <c r="AP5">
        <v>5</v>
      </c>
      <c r="AQ5">
        <v>6</v>
      </c>
      <c r="AR5">
        <v>3</v>
      </c>
      <c r="AS5">
        <v>7</v>
      </c>
      <c r="AT5">
        <v>4</v>
      </c>
      <c r="AU5">
        <v>2</v>
      </c>
      <c r="AV5">
        <v>1</v>
      </c>
      <c r="AW5">
        <v>5</v>
      </c>
      <c r="AX5">
        <v>2</v>
      </c>
      <c r="AY5">
        <v>4</v>
      </c>
      <c r="AZ5">
        <v>5</v>
      </c>
      <c r="BA5">
        <v>5</v>
      </c>
      <c r="BB5">
        <v>7</v>
      </c>
      <c r="BC5">
        <v>7</v>
      </c>
      <c r="BD5">
        <v>4</v>
      </c>
      <c r="BE5">
        <v>6</v>
      </c>
      <c r="BF5">
        <v>0</v>
      </c>
      <c r="BG5">
        <v>6</v>
      </c>
      <c r="BH5">
        <v>4</v>
      </c>
      <c r="BI5">
        <v>1</v>
      </c>
      <c r="BJ5">
        <v>5</v>
      </c>
      <c r="BK5">
        <v>7</v>
      </c>
      <c r="BL5">
        <v>5</v>
      </c>
      <c r="BM5">
        <v>8</v>
      </c>
      <c r="BN5">
        <v>7</v>
      </c>
      <c r="BO5">
        <v>6</v>
      </c>
      <c r="BP5">
        <v>2</v>
      </c>
      <c r="BQ5">
        <v>7</v>
      </c>
      <c r="BR5">
        <v>3</v>
      </c>
      <c r="BS5">
        <v>3</v>
      </c>
      <c r="BT5">
        <v>8</v>
      </c>
      <c r="BU5">
        <v>0</v>
      </c>
      <c r="BV5">
        <v>6</v>
      </c>
      <c r="BW5">
        <v>8</v>
      </c>
      <c r="BX5">
        <v>3</v>
      </c>
      <c r="BY5">
        <v>2</v>
      </c>
      <c r="BZ5">
        <v>1</v>
      </c>
      <c r="CA5">
        <v>2</v>
      </c>
      <c r="CB5">
        <v>0</v>
      </c>
      <c r="CC5">
        <v>3</v>
      </c>
      <c r="CD5">
        <v>5</v>
      </c>
      <c r="CE5">
        <v>5</v>
      </c>
      <c r="CF5">
        <v>1</v>
      </c>
      <c r="CG5">
        <v>0</v>
      </c>
      <c r="CH5">
        <v>4</v>
      </c>
      <c r="CI5">
        <v>4</v>
      </c>
      <c r="CJ5">
        <v>2</v>
      </c>
      <c r="CK5">
        <v>2</v>
      </c>
      <c r="CL5">
        <v>6</v>
      </c>
      <c r="CM5">
        <v>3</v>
      </c>
      <c r="CN5">
        <v>3</v>
      </c>
      <c r="CO5">
        <v>8</v>
      </c>
      <c r="CP5">
        <v>3</v>
      </c>
      <c r="CQ5">
        <v>0</v>
      </c>
      <c r="CR5">
        <v>6</v>
      </c>
      <c r="CS5">
        <v>4</v>
      </c>
      <c r="CT5">
        <v>6</v>
      </c>
      <c r="CU5">
        <v>7</v>
      </c>
      <c r="CV5">
        <v>6</v>
      </c>
      <c r="CW5">
        <v>7</v>
      </c>
      <c r="CX5">
        <v>2</v>
      </c>
      <c r="CY5">
        <v>3</v>
      </c>
      <c r="CZ5">
        <v>3</v>
      </c>
      <c r="DA5">
        <v>0</v>
      </c>
      <c r="DB5">
        <v>0</v>
      </c>
      <c r="DC5">
        <v>0</v>
      </c>
      <c r="DD5">
        <v>3</v>
      </c>
      <c r="DE5">
        <v>8</v>
      </c>
      <c r="DF5">
        <v>0</v>
      </c>
      <c r="DG5">
        <v>0</v>
      </c>
      <c r="DH5">
        <v>6</v>
      </c>
      <c r="DI5">
        <v>1</v>
      </c>
      <c r="DJ5">
        <v>7</v>
      </c>
      <c r="DK5">
        <v>6</v>
      </c>
      <c r="DL5">
        <v>6</v>
      </c>
      <c r="DM5">
        <v>4</v>
      </c>
      <c r="DN5">
        <v>6</v>
      </c>
      <c r="DO5">
        <v>5</v>
      </c>
      <c r="DP5">
        <v>7</v>
      </c>
      <c r="DQ5">
        <v>4</v>
      </c>
      <c r="DR5">
        <v>4</v>
      </c>
      <c r="DS5">
        <v>1</v>
      </c>
      <c r="DT5">
        <v>2</v>
      </c>
      <c r="DU5">
        <v>3</v>
      </c>
      <c r="DV5">
        <v>4</v>
      </c>
      <c r="DW5">
        <v>8</v>
      </c>
      <c r="DX5">
        <v>7</v>
      </c>
      <c r="DY5">
        <v>3</v>
      </c>
      <c r="DZ5">
        <v>3</v>
      </c>
      <c r="EA5">
        <v>2</v>
      </c>
      <c r="EB5">
        <v>3</v>
      </c>
      <c r="EC5">
        <v>3</v>
      </c>
      <c r="ED5">
        <v>1</v>
      </c>
      <c r="EE5">
        <v>8</v>
      </c>
      <c r="EF5">
        <v>2</v>
      </c>
      <c r="EG5">
        <v>3</v>
      </c>
      <c r="EH5">
        <v>3</v>
      </c>
      <c r="EI5">
        <v>2</v>
      </c>
      <c r="EJ5">
        <v>2</v>
      </c>
      <c r="EK5">
        <v>3</v>
      </c>
      <c r="EL5">
        <v>3</v>
      </c>
      <c r="EM5">
        <v>3</v>
      </c>
      <c r="EN5">
        <v>1</v>
      </c>
      <c r="EO5">
        <v>6</v>
      </c>
      <c r="EP5">
        <v>0</v>
      </c>
      <c r="EQ5">
        <v>0</v>
      </c>
      <c r="ER5">
        <v>2</v>
      </c>
      <c r="ES5">
        <v>1</v>
      </c>
      <c r="ET5">
        <v>5</v>
      </c>
      <c r="EU5">
        <v>6</v>
      </c>
      <c r="EV5">
        <v>3</v>
      </c>
      <c r="EW5">
        <v>1</v>
      </c>
      <c r="EX5">
        <v>6</v>
      </c>
      <c r="EY5">
        <v>1</v>
      </c>
      <c r="EZ5">
        <v>2</v>
      </c>
      <c r="FA5">
        <v>3</v>
      </c>
      <c r="FB5">
        <v>3</v>
      </c>
      <c r="FC5">
        <v>1</v>
      </c>
      <c r="FD5">
        <v>7</v>
      </c>
      <c r="FE5">
        <v>1</v>
      </c>
      <c r="FF5">
        <v>2</v>
      </c>
      <c r="FG5">
        <v>1</v>
      </c>
      <c r="FH5">
        <v>4</v>
      </c>
      <c r="FI5">
        <v>5</v>
      </c>
      <c r="FJ5">
        <v>7</v>
      </c>
      <c r="FK5">
        <v>1</v>
      </c>
      <c r="FL5">
        <v>2</v>
      </c>
      <c r="FM5">
        <v>2</v>
      </c>
      <c r="FN5">
        <v>2</v>
      </c>
      <c r="FO5">
        <v>5</v>
      </c>
      <c r="FP5">
        <v>8</v>
      </c>
      <c r="FQ5">
        <v>7</v>
      </c>
      <c r="FR5">
        <v>2</v>
      </c>
      <c r="FS5">
        <v>5</v>
      </c>
      <c r="FT5">
        <v>5</v>
      </c>
      <c r="FU5">
        <v>6</v>
      </c>
      <c r="FV5">
        <v>7</v>
      </c>
      <c r="FW5">
        <v>7</v>
      </c>
      <c r="FX5">
        <v>0</v>
      </c>
      <c r="FY5">
        <v>1</v>
      </c>
      <c r="FZ5">
        <v>2</v>
      </c>
      <c r="GA5">
        <v>0</v>
      </c>
      <c r="GB5">
        <v>6</v>
      </c>
      <c r="GC5">
        <v>3</v>
      </c>
      <c r="GD5">
        <v>4</v>
      </c>
      <c r="GE5">
        <v>2</v>
      </c>
      <c r="GF5">
        <v>7</v>
      </c>
      <c r="GG5">
        <v>2</v>
      </c>
      <c r="GH5">
        <v>1</v>
      </c>
      <c r="GI5">
        <v>5</v>
      </c>
      <c r="GJ5">
        <v>7</v>
      </c>
      <c r="GK5">
        <v>7</v>
      </c>
      <c r="GL5">
        <v>4</v>
      </c>
      <c r="GM5">
        <v>3</v>
      </c>
      <c r="GN5">
        <v>1</v>
      </c>
      <c r="GO5">
        <v>2</v>
      </c>
      <c r="GP5">
        <v>2</v>
      </c>
      <c r="GQ5">
        <v>1</v>
      </c>
      <c r="GR5">
        <v>6</v>
      </c>
      <c r="GS5">
        <v>3</v>
      </c>
      <c r="GT5">
        <v>8</v>
      </c>
      <c r="GU5">
        <v>0</v>
      </c>
      <c r="GV5">
        <v>4</v>
      </c>
      <c r="GW5">
        <v>1</v>
      </c>
      <c r="GX5">
        <v>0</v>
      </c>
      <c r="GY5">
        <v>1</v>
      </c>
      <c r="GZ5">
        <v>7</v>
      </c>
      <c r="HA5">
        <v>7</v>
      </c>
      <c r="HB5">
        <v>3</v>
      </c>
      <c r="HC5">
        <v>2</v>
      </c>
      <c r="HD5">
        <v>1</v>
      </c>
      <c r="HE5">
        <v>8</v>
      </c>
      <c r="HF5">
        <v>3</v>
      </c>
      <c r="HG5">
        <v>1</v>
      </c>
      <c r="HH5">
        <v>8</v>
      </c>
      <c r="HI5">
        <v>2</v>
      </c>
      <c r="HJ5">
        <v>8</v>
      </c>
      <c r="HK5">
        <v>5</v>
      </c>
      <c r="HL5">
        <v>7</v>
      </c>
      <c r="HM5">
        <v>0</v>
      </c>
      <c r="HN5">
        <v>5</v>
      </c>
      <c r="HO5">
        <v>8</v>
      </c>
      <c r="HP5">
        <v>5</v>
      </c>
      <c r="HQ5">
        <v>0</v>
      </c>
      <c r="HR5">
        <v>7</v>
      </c>
      <c r="HS5">
        <v>0</v>
      </c>
      <c r="HT5">
        <v>4</v>
      </c>
      <c r="HU5">
        <v>5</v>
      </c>
      <c r="HV5">
        <v>5</v>
      </c>
      <c r="HW5">
        <v>4</v>
      </c>
      <c r="HX5">
        <v>0</v>
      </c>
      <c r="HY5">
        <v>4</v>
      </c>
      <c r="HZ5">
        <v>8</v>
      </c>
      <c r="IA5">
        <v>3</v>
      </c>
      <c r="IB5">
        <v>2</v>
      </c>
      <c r="IC5">
        <v>6</v>
      </c>
      <c r="ID5">
        <v>8</v>
      </c>
      <c r="IE5">
        <v>5</v>
      </c>
      <c r="IF5">
        <v>7</v>
      </c>
      <c r="IG5">
        <v>2</v>
      </c>
      <c r="IH5">
        <v>4</v>
      </c>
      <c r="II5">
        <v>4</v>
      </c>
      <c r="IJ5">
        <v>6</v>
      </c>
      <c r="IK5">
        <v>4</v>
      </c>
      <c r="IL5">
        <v>8</v>
      </c>
      <c r="IM5">
        <v>6</v>
      </c>
      <c r="IN5">
        <v>4</v>
      </c>
      <c r="IO5">
        <v>7</v>
      </c>
      <c r="IP5">
        <v>0</v>
      </c>
      <c r="IQ5">
        <v>5</v>
      </c>
      <c r="IR5">
        <v>8</v>
      </c>
      <c r="IS5">
        <v>7</v>
      </c>
      <c r="IT5">
        <v>0</v>
      </c>
      <c r="IU5">
        <v>3</v>
      </c>
      <c r="IV5">
        <v>3</v>
      </c>
      <c r="IW5">
        <v>1</v>
      </c>
      <c r="IX5">
        <v>7</v>
      </c>
      <c r="IY5">
        <v>3</v>
      </c>
      <c r="IZ5">
        <v>2</v>
      </c>
      <c r="JA5">
        <v>7</v>
      </c>
      <c r="JB5">
        <v>8</v>
      </c>
      <c r="JC5">
        <v>3</v>
      </c>
      <c r="JD5">
        <v>3</v>
      </c>
      <c r="JE5">
        <v>0</v>
      </c>
      <c r="JF5">
        <v>1</v>
      </c>
      <c r="JG5">
        <v>2</v>
      </c>
      <c r="JH5">
        <v>6</v>
      </c>
      <c r="JI5">
        <v>1</v>
      </c>
      <c r="JJ5">
        <v>2</v>
      </c>
      <c r="JK5">
        <v>8</v>
      </c>
      <c r="JL5">
        <v>8</v>
      </c>
      <c r="JM5">
        <v>0</v>
      </c>
      <c r="JN5">
        <v>4</v>
      </c>
      <c r="JO5">
        <v>7</v>
      </c>
      <c r="JP5">
        <v>1</v>
      </c>
      <c r="JQ5">
        <v>8</v>
      </c>
      <c r="JR5">
        <v>8</v>
      </c>
      <c r="JS5">
        <v>5</v>
      </c>
      <c r="JT5">
        <v>1</v>
      </c>
      <c r="JU5">
        <v>4</v>
      </c>
      <c r="JV5">
        <v>2</v>
      </c>
      <c r="JW5">
        <v>5</v>
      </c>
      <c r="JX5">
        <v>4</v>
      </c>
      <c r="JY5">
        <v>5</v>
      </c>
      <c r="JZ5">
        <v>0</v>
      </c>
      <c r="KA5">
        <v>7</v>
      </c>
      <c r="KB5">
        <v>8</v>
      </c>
      <c r="KC5">
        <v>7</v>
      </c>
      <c r="KD5">
        <v>6</v>
      </c>
      <c r="KE5">
        <v>4</v>
      </c>
      <c r="KF5">
        <v>4</v>
      </c>
      <c r="KG5">
        <v>3</v>
      </c>
      <c r="KH5">
        <v>8</v>
      </c>
      <c r="KI5">
        <v>8</v>
      </c>
      <c r="KJ5">
        <v>2</v>
      </c>
      <c r="KK5">
        <v>3</v>
      </c>
      <c r="KL5">
        <v>7</v>
      </c>
      <c r="KM5">
        <v>2</v>
      </c>
      <c r="KN5">
        <v>6</v>
      </c>
      <c r="KO5">
        <v>8</v>
      </c>
      <c r="KP5">
        <v>3</v>
      </c>
      <c r="KQ5">
        <v>0</v>
      </c>
      <c r="KR5">
        <v>6</v>
      </c>
      <c r="KS5">
        <v>7</v>
      </c>
      <c r="KT5">
        <v>6</v>
      </c>
      <c r="KU5">
        <v>0</v>
      </c>
      <c r="KV5">
        <v>3</v>
      </c>
      <c r="KW5">
        <v>0</v>
      </c>
      <c r="KX5">
        <v>0</v>
      </c>
      <c r="KY5">
        <v>3</v>
      </c>
      <c r="KZ5">
        <v>4</v>
      </c>
      <c r="LA5">
        <v>6</v>
      </c>
      <c r="LB5">
        <v>0</v>
      </c>
      <c r="LC5">
        <v>1</v>
      </c>
      <c r="LD5">
        <v>6</v>
      </c>
      <c r="LE5">
        <v>2</v>
      </c>
      <c r="LF5">
        <v>2</v>
      </c>
      <c r="LG5">
        <v>7</v>
      </c>
      <c r="LH5">
        <v>8</v>
      </c>
      <c r="LI5">
        <v>3</v>
      </c>
      <c r="LJ5">
        <v>2</v>
      </c>
      <c r="LK5">
        <v>4</v>
      </c>
      <c r="LL5">
        <v>2</v>
      </c>
      <c r="LM5">
        <v>8</v>
      </c>
      <c r="LN5">
        <v>4</v>
      </c>
      <c r="LO5">
        <v>6</v>
      </c>
      <c r="LP5">
        <v>8</v>
      </c>
      <c r="LQ5">
        <v>0</v>
      </c>
      <c r="LR5">
        <v>7</v>
      </c>
      <c r="LS5">
        <v>4</v>
      </c>
      <c r="LT5">
        <v>8</v>
      </c>
      <c r="LU5">
        <v>4</v>
      </c>
      <c r="LV5">
        <v>1</v>
      </c>
      <c r="LW5">
        <v>4</v>
      </c>
      <c r="LX5">
        <v>3</v>
      </c>
      <c r="LY5">
        <v>2</v>
      </c>
      <c r="LZ5">
        <v>0</v>
      </c>
      <c r="MA5">
        <v>6</v>
      </c>
      <c r="MB5">
        <v>5</v>
      </c>
      <c r="MC5">
        <v>6</v>
      </c>
      <c r="MD5">
        <v>7</v>
      </c>
      <c r="ME5">
        <v>1</v>
      </c>
      <c r="MF5">
        <v>3</v>
      </c>
      <c r="MG5">
        <v>0</v>
      </c>
      <c r="MH5">
        <v>2</v>
      </c>
      <c r="MI5">
        <v>5</v>
      </c>
      <c r="MJ5">
        <v>0</v>
      </c>
      <c r="MK5">
        <v>7</v>
      </c>
      <c r="ML5">
        <v>5</v>
      </c>
      <c r="MM5">
        <v>0</v>
      </c>
      <c r="MN5">
        <v>6</v>
      </c>
      <c r="MO5">
        <v>7</v>
      </c>
      <c r="MP5">
        <v>5</v>
      </c>
      <c r="MQ5">
        <v>7</v>
      </c>
      <c r="MR5">
        <v>5</v>
      </c>
      <c r="MS5">
        <v>8</v>
      </c>
      <c r="MT5">
        <v>8</v>
      </c>
      <c r="MU5">
        <v>1</v>
      </c>
      <c r="MV5">
        <v>8</v>
      </c>
      <c r="MW5">
        <v>5</v>
      </c>
      <c r="MX5">
        <v>5</v>
      </c>
      <c r="MY5">
        <v>0</v>
      </c>
      <c r="MZ5">
        <v>0</v>
      </c>
      <c r="NA5">
        <v>0</v>
      </c>
      <c r="NB5">
        <v>4</v>
      </c>
      <c r="NE5" s="35" t="str">
        <f t="shared" si="8"/>
        <v>A. Anjali</v>
      </c>
      <c r="NF5" s="5">
        <f t="shared" si="9"/>
        <v>136</v>
      </c>
      <c r="NG5" s="5">
        <f t="shared" si="9"/>
        <v>134</v>
      </c>
      <c r="NH5" s="5">
        <f t="shared" si="9"/>
        <v>119</v>
      </c>
      <c r="NI5" s="5">
        <f t="shared" si="9"/>
        <v>121</v>
      </c>
      <c r="NJ5" s="5">
        <f t="shared" si="9"/>
        <v>97</v>
      </c>
      <c r="NK5" s="5">
        <f t="shared" si="9"/>
        <v>106</v>
      </c>
      <c r="NL5" s="5">
        <f t="shared" si="9"/>
        <v>108</v>
      </c>
      <c r="NM5" s="5">
        <f t="shared" si="9"/>
        <v>136</v>
      </c>
      <c r="NN5" s="5">
        <f t="shared" si="9"/>
        <v>121</v>
      </c>
      <c r="NO5" s="5">
        <f t="shared" si="9"/>
        <v>149</v>
      </c>
      <c r="NP5" s="5">
        <f t="shared" si="9"/>
        <v>113</v>
      </c>
      <c r="NQ5" s="5">
        <f t="shared" si="9"/>
        <v>121</v>
      </c>
      <c r="NS5" t="str">
        <f t="shared" si="10"/>
        <v>A. Anjali</v>
      </c>
      <c r="NT5" s="38">
        <v>110</v>
      </c>
      <c r="NU5" s="37">
        <f t="shared" si="11"/>
        <v>14960</v>
      </c>
      <c r="NV5" s="37">
        <f t="shared" si="7"/>
        <v>14740</v>
      </c>
      <c r="NW5" s="37">
        <f t="shared" si="7"/>
        <v>13090</v>
      </c>
      <c r="NX5" s="37">
        <f t="shared" si="7"/>
        <v>13310</v>
      </c>
      <c r="NY5" s="37">
        <f t="shared" si="7"/>
        <v>10670</v>
      </c>
      <c r="NZ5" s="37">
        <f t="shared" si="7"/>
        <v>11660</v>
      </c>
      <c r="OA5" s="37">
        <f t="shared" si="7"/>
        <v>11880</v>
      </c>
      <c r="OB5" s="37">
        <f t="shared" si="7"/>
        <v>14960</v>
      </c>
      <c r="OC5" s="37">
        <f t="shared" si="7"/>
        <v>13310</v>
      </c>
      <c r="OD5" s="37">
        <f t="shared" si="7"/>
        <v>16390</v>
      </c>
      <c r="OE5" s="37">
        <f t="shared" si="7"/>
        <v>12430</v>
      </c>
      <c r="OF5" s="37">
        <f t="shared" si="7"/>
        <v>13310</v>
      </c>
      <c r="OH5" s="39" t="str">
        <f t="shared" si="12"/>
        <v>Above</v>
      </c>
    </row>
    <row r="6" spans="1:398" x14ac:dyDescent="0.25">
      <c r="A6" t="s">
        <v>22</v>
      </c>
      <c r="B6">
        <v>3</v>
      </c>
      <c r="C6">
        <v>5</v>
      </c>
      <c r="D6">
        <v>2</v>
      </c>
      <c r="E6">
        <v>4</v>
      </c>
      <c r="F6">
        <v>3</v>
      </c>
      <c r="G6">
        <v>3</v>
      </c>
      <c r="H6">
        <v>6</v>
      </c>
      <c r="I6">
        <v>2</v>
      </c>
      <c r="J6">
        <v>1</v>
      </c>
      <c r="K6">
        <v>3</v>
      </c>
      <c r="L6">
        <v>4</v>
      </c>
      <c r="M6">
        <v>4</v>
      </c>
      <c r="N6">
        <v>0</v>
      </c>
      <c r="O6">
        <v>6</v>
      </c>
      <c r="P6">
        <v>8</v>
      </c>
      <c r="Q6">
        <v>4</v>
      </c>
      <c r="R6">
        <v>5</v>
      </c>
      <c r="S6">
        <v>8</v>
      </c>
      <c r="T6">
        <v>0</v>
      </c>
      <c r="U6">
        <v>7</v>
      </c>
      <c r="V6">
        <v>7</v>
      </c>
      <c r="W6">
        <v>6</v>
      </c>
      <c r="X6">
        <v>0</v>
      </c>
      <c r="Y6">
        <v>5</v>
      </c>
      <c r="Z6">
        <v>5</v>
      </c>
      <c r="AA6">
        <v>6</v>
      </c>
      <c r="AB6">
        <v>5</v>
      </c>
      <c r="AC6">
        <v>8</v>
      </c>
      <c r="AD6">
        <v>2</v>
      </c>
      <c r="AE6">
        <v>1</v>
      </c>
      <c r="AF6">
        <v>7</v>
      </c>
      <c r="AG6">
        <v>4</v>
      </c>
      <c r="AH6">
        <v>0</v>
      </c>
      <c r="AI6">
        <v>6</v>
      </c>
      <c r="AJ6">
        <v>1</v>
      </c>
      <c r="AK6">
        <v>8</v>
      </c>
      <c r="AL6">
        <v>3</v>
      </c>
      <c r="AM6">
        <v>0</v>
      </c>
      <c r="AN6">
        <v>0</v>
      </c>
      <c r="AO6">
        <v>6</v>
      </c>
      <c r="AP6">
        <v>5</v>
      </c>
      <c r="AQ6">
        <v>0</v>
      </c>
      <c r="AR6">
        <v>7</v>
      </c>
      <c r="AS6">
        <v>1</v>
      </c>
      <c r="AT6">
        <v>8</v>
      </c>
      <c r="AU6">
        <v>4</v>
      </c>
      <c r="AV6">
        <v>3</v>
      </c>
      <c r="AW6">
        <v>4</v>
      </c>
      <c r="AX6">
        <v>0</v>
      </c>
      <c r="AY6">
        <v>6</v>
      </c>
      <c r="AZ6">
        <v>2</v>
      </c>
      <c r="BA6">
        <v>1</v>
      </c>
      <c r="BB6">
        <v>2</v>
      </c>
      <c r="BC6">
        <v>4</v>
      </c>
      <c r="BD6">
        <v>4</v>
      </c>
      <c r="BE6">
        <v>0</v>
      </c>
      <c r="BF6">
        <v>2</v>
      </c>
      <c r="BG6">
        <v>0</v>
      </c>
      <c r="BH6">
        <v>8</v>
      </c>
      <c r="BI6">
        <v>1</v>
      </c>
      <c r="BJ6">
        <v>7</v>
      </c>
      <c r="BK6">
        <v>6</v>
      </c>
      <c r="BL6">
        <v>7</v>
      </c>
      <c r="BM6">
        <v>6</v>
      </c>
      <c r="BN6">
        <v>6</v>
      </c>
      <c r="BO6">
        <v>5</v>
      </c>
      <c r="BP6">
        <v>5</v>
      </c>
      <c r="BQ6">
        <v>8</v>
      </c>
      <c r="BR6">
        <v>8</v>
      </c>
      <c r="BS6">
        <v>2</v>
      </c>
      <c r="BT6">
        <v>7</v>
      </c>
      <c r="BU6">
        <v>3</v>
      </c>
      <c r="BV6">
        <v>0</v>
      </c>
      <c r="BW6">
        <v>4</v>
      </c>
      <c r="BX6">
        <v>6</v>
      </c>
      <c r="BY6">
        <v>8</v>
      </c>
      <c r="BZ6">
        <v>8</v>
      </c>
      <c r="CA6">
        <v>4</v>
      </c>
      <c r="CB6">
        <v>0</v>
      </c>
      <c r="CC6">
        <v>2</v>
      </c>
      <c r="CD6">
        <v>0</v>
      </c>
      <c r="CE6">
        <v>4</v>
      </c>
      <c r="CF6">
        <v>5</v>
      </c>
      <c r="CG6">
        <v>7</v>
      </c>
      <c r="CH6">
        <v>0</v>
      </c>
      <c r="CI6">
        <v>0</v>
      </c>
      <c r="CJ6">
        <v>2</v>
      </c>
      <c r="CK6">
        <v>7</v>
      </c>
      <c r="CL6">
        <v>0</v>
      </c>
      <c r="CM6">
        <v>5</v>
      </c>
      <c r="CN6">
        <v>3</v>
      </c>
      <c r="CO6">
        <v>0</v>
      </c>
      <c r="CP6">
        <v>0</v>
      </c>
      <c r="CQ6">
        <v>0</v>
      </c>
      <c r="CR6">
        <v>6</v>
      </c>
      <c r="CS6">
        <v>4</v>
      </c>
      <c r="CT6">
        <v>6</v>
      </c>
      <c r="CU6">
        <v>8</v>
      </c>
      <c r="CV6">
        <v>6</v>
      </c>
      <c r="CW6">
        <v>8</v>
      </c>
      <c r="CX6">
        <v>5</v>
      </c>
      <c r="CY6">
        <v>8</v>
      </c>
      <c r="CZ6">
        <v>1</v>
      </c>
      <c r="DA6">
        <v>6</v>
      </c>
      <c r="DB6">
        <v>3</v>
      </c>
      <c r="DC6">
        <v>7</v>
      </c>
      <c r="DD6">
        <v>0</v>
      </c>
      <c r="DE6">
        <v>8</v>
      </c>
      <c r="DF6">
        <v>7</v>
      </c>
      <c r="DG6">
        <v>0</v>
      </c>
      <c r="DH6">
        <v>4</v>
      </c>
      <c r="DI6">
        <v>6</v>
      </c>
      <c r="DJ6">
        <v>4</v>
      </c>
      <c r="DK6">
        <v>5</v>
      </c>
      <c r="DL6">
        <v>5</v>
      </c>
      <c r="DM6">
        <v>0</v>
      </c>
      <c r="DN6">
        <v>7</v>
      </c>
      <c r="DO6">
        <v>1</v>
      </c>
      <c r="DP6">
        <v>7</v>
      </c>
      <c r="DQ6">
        <v>8</v>
      </c>
      <c r="DR6">
        <v>0</v>
      </c>
      <c r="DS6">
        <v>0</v>
      </c>
      <c r="DT6">
        <v>1</v>
      </c>
      <c r="DU6">
        <v>8</v>
      </c>
      <c r="DV6">
        <v>8</v>
      </c>
      <c r="DW6">
        <v>0</v>
      </c>
      <c r="DX6">
        <v>6</v>
      </c>
      <c r="DY6">
        <v>4</v>
      </c>
      <c r="DZ6">
        <v>8</v>
      </c>
      <c r="EA6">
        <v>2</v>
      </c>
      <c r="EB6">
        <v>4</v>
      </c>
      <c r="EC6">
        <v>7</v>
      </c>
      <c r="ED6">
        <v>4</v>
      </c>
      <c r="EE6">
        <v>4</v>
      </c>
      <c r="EF6">
        <v>6</v>
      </c>
      <c r="EG6">
        <v>5</v>
      </c>
      <c r="EH6">
        <v>5</v>
      </c>
      <c r="EI6">
        <v>5</v>
      </c>
      <c r="EJ6">
        <v>3</v>
      </c>
      <c r="EK6">
        <v>8</v>
      </c>
      <c r="EL6">
        <v>3</v>
      </c>
      <c r="EM6">
        <v>5</v>
      </c>
      <c r="EN6">
        <v>6</v>
      </c>
      <c r="EO6">
        <v>7</v>
      </c>
      <c r="EP6">
        <v>4</v>
      </c>
      <c r="EQ6">
        <v>2</v>
      </c>
      <c r="ER6">
        <v>5</v>
      </c>
      <c r="ES6">
        <v>1</v>
      </c>
      <c r="ET6">
        <v>6</v>
      </c>
      <c r="EU6">
        <v>3</v>
      </c>
      <c r="EV6">
        <v>6</v>
      </c>
      <c r="EW6">
        <v>0</v>
      </c>
      <c r="EX6">
        <v>7</v>
      </c>
      <c r="EY6">
        <v>0</v>
      </c>
      <c r="EZ6">
        <v>8</v>
      </c>
      <c r="FA6">
        <v>5</v>
      </c>
      <c r="FB6">
        <v>8</v>
      </c>
      <c r="FC6">
        <v>4</v>
      </c>
      <c r="FD6">
        <v>6</v>
      </c>
      <c r="FE6">
        <v>3</v>
      </c>
      <c r="FF6">
        <v>5</v>
      </c>
      <c r="FG6">
        <v>4</v>
      </c>
      <c r="FH6">
        <v>7</v>
      </c>
      <c r="FI6">
        <v>0</v>
      </c>
      <c r="FJ6">
        <v>3</v>
      </c>
      <c r="FK6">
        <v>5</v>
      </c>
      <c r="FL6">
        <v>8</v>
      </c>
      <c r="FM6">
        <v>1</v>
      </c>
      <c r="FN6">
        <v>2</v>
      </c>
      <c r="FO6">
        <v>0</v>
      </c>
      <c r="FP6">
        <v>4</v>
      </c>
      <c r="FQ6">
        <v>2</v>
      </c>
      <c r="FR6">
        <v>0</v>
      </c>
      <c r="FS6">
        <v>7</v>
      </c>
      <c r="FT6">
        <v>4</v>
      </c>
      <c r="FU6">
        <v>5</v>
      </c>
      <c r="FV6">
        <v>8</v>
      </c>
      <c r="FW6">
        <v>1</v>
      </c>
      <c r="FX6">
        <v>0</v>
      </c>
      <c r="FY6">
        <v>2</v>
      </c>
      <c r="FZ6">
        <v>2</v>
      </c>
      <c r="GA6">
        <v>5</v>
      </c>
      <c r="GB6">
        <v>7</v>
      </c>
      <c r="GC6">
        <v>8</v>
      </c>
      <c r="GD6">
        <v>3</v>
      </c>
      <c r="GE6">
        <v>4</v>
      </c>
      <c r="GF6">
        <v>2</v>
      </c>
      <c r="GG6">
        <v>3</v>
      </c>
      <c r="GH6">
        <v>6</v>
      </c>
      <c r="GI6">
        <v>4</v>
      </c>
      <c r="GJ6">
        <v>3</v>
      </c>
      <c r="GK6">
        <v>7</v>
      </c>
      <c r="GL6">
        <v>3</v>
      </c>
      <c r="GM6">
        <v>8</v>
      </c>
      <c r="GN6">
        <v>6</v>
      </c>
      <c r="GO6">
        <v>0</v>
      </c>
      <c r="GP6">
        <v>0</v>
      </c>
      <c r="GQ6">
        <v>8</v>
      </c>
      <c r="GR6">
        <v>1</v>
      </c>
      <c r="GS6">
        <v>8</v>
      </c>
      <c r="GT6">
        <v>6</v>
      </c>
      <c r="GU6">
        <v>7</v>
      </c>
      <c r="GV6">
        <v>1</v>
      </c>
      <c r="GW6">
        <v>6</v>
      </c>
      <c r="GX6">
        <v>4</v>
      </c>
      <c r="GY6">
        <v>0</v>
      </c>
      <c r="GZ6">
        <v>8</v>
      </c>
      <c r="HA6">
        <v>3</v>
      </c>
      <c r="HB6">
        <v>6</v>
      </c>
      <c r="HC6">
        <v>6</v>
      </c>
      <c r="HD6">
        <v>1</v>
      </c>
      <c r="HE6">
        <v>8</v>
      </c>
      <c r="HF6">
        <v>1</v>
      </c>
      <c r="HG6">
        <v>1</v>
      </c>
      <c r="HH6">
        <v>3</v>
      </c>
      <c r="HI6">
        <v>0</v>
      </c>
      <c r="HJ6">
        <v>5</v>
      </c>
      <c r="HK6">
        <v>6</v>
      </c>
      <c r="HL6">
        <v>7</v>
      </c>
      <c r="HM6">
        <v>7</v>
      </c>
      <c r="HN6">
        <v>6</v>
      </c>
      <c r="HO6">
        <v>3</v>
      </c>
      <c r="HP6">
        <v>4</v>
      </c>
      <c r="HQ6">
        <v>6</v>
      </c>
      <c r="HR6">
        <v>6</v>
      </c>
      <c r="HS6">
        <v>5</v>
      </c>
      <c r="HT6">
        <v>1</v>
      </c>
      <c r="HU6">
        <v>2</v>
      </c>
      <c r="HV6">
        <v>4</v>
      </c>
      <c r="HW6">
        <v>0</v>
      </c>
      <c r="HX6">
        <v>5</v>
      </c>
      <c r="HY6">
        <v>0</v>
      </c>
      <c r="HZ6">
        <v>2</v>
      </c>
      <c r="IA6">
        <v>2</v>
      </c>
      <c r="IB6">
        <v>3</v>
      </c>
      <c r="IC6">
        <v>8</v>
      </c>
      <c r="ID6">
        <v>4</v>
      </c>
      <c r="IE6">
        <v>4</v>
      </c>
      <c r="IF6">
        <v>4</v>
      </c>
      <c r="IG6">
        <v>1</v>
      </c>
      <c r="IH6">
        <v>0</v>
      </c>
      <c r="II6">
        <v>6</v>
      </c>
      <c r="IJ6">
        <v>6</v>
      </c>
      <c r="IK6">
        <v>3</v>
      </c>
      <c r="IL6">
        <v>7</v>
      </c>
      <c r="IM6">
        <v>6</v>
      </c>
      <c r="IN6">
        <v>6</v>
      </c>
      <c r="IO6">
        <v>0</v>
      </c>
      <c r="IP6">
        <v>1</v>
      </c>
      <c r="IQ6">
        <v>5</v>
      </c>
      <c r="IR6">
        <v>4</v>
      </c>
      <c r="IS6">
        <v>3</v>
      </c>
      <c r="IT6">
        <v>0</v>
      </c>
      <c r="IU6">
        <v>3</v>
      </c>
      <c r="IV6">
        <v>4</v>
      </c>
      <c r="IW6">
        <v>4</v>
      </c>
      <c r="IX6">
        <v>3</v>
      </c>
      <c r="IY6">
        <v>4</v>
      </c>
      <c r="IZ6">
        <v>4</v>
      </c>
      <c r="JA6">
        <v>0</v>
      </c>
      <c r="JB6">
        <v>5</v>
      </c>
      <c r="JC6">
        <v>2</v>
      </c>
      <c r="JD6">
        <v>3</v>
      </c>
      <c r="JE6">
        <v>3</v>
      </c>
      <c r="JF6">
        <v>7</v>
      </c>
      <c r="JG6">
        <v>8</v>
      </c>
      <c r="JH6">
        <v>5</v>
      </c>
      <c r="JI6">
        <v>3</v>
      </c>
      <c r="JJ6">
        <v>1</v>
      </c>
      <c r="JK6">
        <v>4</v>
      </c>
      <c r="JL6">
        <v>6</v>
      </c>
      <c r="JM6">
        <v>8</v>
      </c>
      <c r="JN6">
        <v>8</v>
      </c>
      <c r="JO6">
        <v>4</v>
      </c>
      <c r="JP6">
        <v>2</v>
      </c>
      <c r="JQ6">
        <v>0</v>
      </c>
      <c r="JR6">
        <v>7</v>
      </c>
      <c r="JS6">
        <v>0</v>
      </c>
      <c r="JT6">
        <v>2</v>
      </c>
      <c r="JU6">
        <v>7</v>
      </c>
      <c r="JV6">
        <v>2</v>
      </c>
      <c r="JW6">
        <v>8</v>
      </c>
      <c r="JX6">
        <v>7</v>
      </c>
      <c r="JY6">
        <v>4</v>
      </c>
      <c r="JZ6">
        <v>3</v>
      </c>
      <c r="KA6">
        <v>7</v>
      </c>
      <c r="KB6">
        <v>6</v>
      </c>
      <c r="KC6">
        <v>0</v>
      </c>
      <c r="KD6">
        <v>4</v>
      </c>
      <c r="KE6">
        <v>4</v>
      </c>
      <c r="KF6">
        <v>5</v>
      </c>
      <c r="KG6">
        <v>1</v>
      </c>
      <c r="KH6">
        <v>6</v>
      </c>
      <c r="KI6">
        <v>8</v>
      </c>
      <c r="KJ6">
        <v>2</v>
      </c>
      <c r="KK6">
        <v>7</v>
      </c>
      <c r="KL6">
        <v>0</v>
      </c>
      <c r="KM6">
        <v>3</v>
      </c>
      <c r="KN6">
        <v>3</v>
      </c>
      <c r="KO6">
        <v>0</v>
      </c>
      <c r="KP6">
        <v>3</v>
      </c>
      <c r="KQ6">
        <v>1</v>
      </c>
      <c r="KR6">
        <v>6</v>
      </c>
      <c r="KS6">
        <v>1</v>
      </c>
      <c r="KT6">
        <v>6</v>
      </c>
      <c r="KU6">
        <v>8</v>
      </c>
      <c r="KV6">
        <v>2</v>
      </c>
      <c r="KW6">
        <v>2</v>
      </c>
      <c r="KX6">
        <v>3</v>
      </c>
      <c r="KY6">
        <v>4</v>
      </c>
      <c r="KZ6">
        <v>6</v>
      </c>
      <c r="LA6">
        <v>6</v>
      </c>
      <c r="LB6">
        <v>8</v>
      </c>
      <c r="LC6">
        <v>6</v>
      </c>
      <c r="LD6">
        <v>6</v>
      </c>
      <c r="LE6">
        <v>6</v>
      </c>
      <c r="LF6">
        <v>4</v>
      </c>
      <c r="LG6">
        <v>2</v>
      </c>
      <c r="LH6">
        <v>5</v>
      </c>
      <c r="LI6">
        <v>2</v>
      </c>
      <c r="LJ6">
        <v>2</v>
      </c>
      <c r="LK6">
        <v>3</v>
      </c>
      <c r="LL6">
        <v>0</v>
      </c>
      <c r="LM6">
        <v>4</v>
      </c>
      <c r="LN6">
        <v>4</v>
      </c>
      <c r="LO6">
        <v>7</v>
      </c>
      <c r="LP6">
        <v>8</v>
      </c>
      <c r="LQ6">
        <v>2</v>
      </c>
      <c r="LR6">
        <v>3</v>
      </c>
      <c r="LS6">
        <v>0</v>
      </c>
      <c r="LT6">
        <v>7</v>
      </c>
      <c r="LU6">
        <v>7</v>
      </c>
      <c r="LV6">
        <v>5</v>
      </c>
      <c r="LW6">
        <v>0</v>
      </c>
      <c r="LX6">
        <v>0</v>
      </c>
      <c r="LY6">
        <v>0</v>
      </c>
      <c r="LZ6">
        <v>2</v>
      </c>
      <c r="MA6">
        <v>6</v>
      </c>
      <c r="MB6">
        <v>3</v>
      </c>
      <c r="MC6">
        <v>3</v>
      </c>
      <c r="MD6">
        <v>0</v>
      </c>
      <c r="ME6">
        <v>5</v>
      </c>
      <c r="MF6">
        <v>6</v>
      </c>
      <c r="MG6">
        <v>4</v>
      </c>
      <c r="MH6">
        <v>0</v>
      </c>
      <c r="MI6">
        <v>1</v>
      </c>
      <c r="MJ6">
        <v>2</v>
      </c>
      <c r="MK6">
        <v>6</v>
      </c>
      <c r="ML6">
        <v>4</v>
      </c>
      <c r="MM6">
        <v>5</v>
      </c>
      <c r="MN6">
        <v>3</v>
      </c>
      <c r="MO6">
        <v>1</v>
      </c>
      <c r="MP6">
        <v>1</v>
      </c>
      <c r="MQ6">
        <v>1</v>
      </c>
      <c r="MR6">
        <v>5</v>
      </c>
      <c r="MS6">
        <v>1</v>
      </c>
      <c r="MT6">
        <v>5</v>
      </c>
      <c r="MU6">
        <v>6</v>
      </c>
      <c r="MV6">
        <v>6</v>
      </c>
      <c r="MW6">
        <v>4</v>
      </c>
      <c r="MX6">
        <v>6</v>
      </c>
      <c r="MY6">
        <v>2</v>
      </c>
      <c r="MZ6">
        <v>2</v>
      </c>
      <c r="NA6">
        <v>2</v>
      </c>
      <c r="NB6">
        <v>2</v>
      </c>
      <c r="NE6" s="35" t="str">
        <f t="shared" si="8"/>
        <v>S. Arjun</v>
      </c>
      <c r="NF6" s="5">
        <f t="shared" si="9"/>
        <v>130</v>
      </c>
      <c r="NG6" s="5">
        <f t="shared" si="9"/>
        <v>89</v>
      </c>
      <c r="NH6" s="5">
        <f t="shared" si="9"/>
        <v>133</v>
      </c>
      <c r="NI6" s="5">
        <f t="shared" si="9"/>
        <v>133</v>
      </c>
      <c r="NJ6" s="5">
        <f t="shared" si="9"/>
        <v>136</v>
      </c>
      <c r="NK6" s="5">
        <f t="shared" si="9"/>
        <v>111</v>
      </c>
      <c r="NL6" s="5">
        <f t="shared" si="9"/>
        <v>142</v>
      </c>
      <c r="NM6" s="5">
        <f t="shared" si="9"/>
        <v>112</v>
      </c>
      <c r="NN6" s="5">
        <f t="shared" si="9"/>
        <v>120</v>
      </c>
      <c r="NO6" s="5">
        <f t="shared" si="9"/>
        <v>113</v>
      </c>
      <c r="NP6" s="5">
        <f t="shared" si="9"/>
        <v>128</v>
      </c>
      <c r="NQ6" s="5">
        <f t="shared" si="9"/>
        <v>94</v>
      </c>
      <c r="NS6" t="str">
        <f t="shared" si="10"/>
        <v>S. Arjun</v>
      </c>
      <c r="NT6" s="38">
        <v>60</v>
      </c>
      <c r="NU6" s="37">
        <f t="shared" si="11"/>
        <v>7800</v>
      </c>
      <c r="NV6" s="37">
        <f t="shared" si="7"/>
        <v>5340</v>
      </c>
      <c r="NW6" s="37">
        <f t="shared" si="7"/>
        <v>7980</v>
      </c>
      <c r="NX6" s="37">
        <f t="shared" si="7"/>
        <v>7980</v>
      </c>
      <c r="NY6" s="37">
        <f t="shared" si="7"/>
        <v>8160</v>
      </c>
      <c r="NZ6" s="37">
        <f t="shared" si="7"/>
        <v>6660</v>
      </c>
      <c r="OA6" s="37">
        <f t="shared" si="7"/>
        <v>8520</v>
      </c>
      <c r="OB6" s="37">
        <f t="shared" si="7"/>
        <v>6720</v>
      </c>
      <c r="OC6" s="37">
        <f t="shared" si="7"/>
        <v>7200</v>
      </c>
      <c r="OD6" s="37">
        <f t="shared" si="7"/>
        <v>6780</v>
      </c>
      <c r="OE6" s="37">
        <f t="shared" si="7"/>
        <v>7680</v>
      </c>
      <c r="OF6" s="37">
        <f t="shared" si="7"/>
        <v>5640</v>
      </c>
      <c r="OH6" s="39" t="str">
        <f t="shared" si="12"/>
        <v>Below</v>
      </c>
    </row>
    <row r="7" spans="1:398" x14ac:dyDescent="0.25">
      <c r="A7" t="s">
        <v>23</v>
      </c>
      <c r="B7">
        <v>8</v>
      </c>
      <c r="C7">
        <v>7</v>
      </c>
      <c r="D7">
        <v>3</v>
      </c>
      <c r="E7">
        <v>1</v>
      </c>
      <c r="F7">
        <v>7</v>
      </c>
      <c r="G7">
        <v>6</v>
      </c>
      <c r="H7">
        <v>3</v>
      </c>
      <c r="I7">
        <v>7</v>
      </c>
      <c r="J7">
        <v>4</v>
      </c>
      <c r="K7">
        <v>3</v>
      </c>
      <c r="L7">
        <v>2</v>
      </c>
      <c r="M7">
        <v>4</v>
      </c>
      <c r="N7">
        <v>5</v>
      </c>
      <c r="O7">
        <v>4</v>
      </c>
      <c r="P7">
        <v>3</v>
      </c>
      <c r="Q7">
        <v>4</v>
      </c>
      <c r="R7">
        <v>4</v>
      </c>
      <c r="S7">
        <v>5</v>
      </c>
      <c r="T7">
        <v>1</v>
      </c>
      <c r="U7">
        <v>4</v>
      </c>
      <c r="V7">
        <v>6</v>
      </c>
      <c r="W7">
        <v>4</v>
      </c>
      <c r="X7">
        <v>1</v>
      </c>
      <c r="Y7">
        <v>3</v>
      </c>
      <c r="Z7">
        <v>7</v>
      </c>
      <c r="AA7">
        <v>3</v>
      </c>
      <c r="AB7">
        <v>7</v>
      </c>
      <c r="AC7">
        <v>4</v>
      </c>
      <c r="AD7">
        <v>5</v>
      </c>
      <c r="AE7">
        <v>2</v>
      </c>
      <c r="AF7">
        <v>5</v>
      </c>
      <c r="AG7">
        <v>8</v>
      </c>
      <c r="AH7">
        <v>8</v>
      </c>
      <c r="AI7">
        <v>7</v>
      </c>
      <c r="AJ7">
        <v>6</v>
      </c>
      <c r="AK7">
        <v>2</v>
      </c>
      <c r="AL7">
        <v>3</v>
      </c>
      <c r="AM7">
        <v>6</v>
      </c>
      <c r="AN7">
        <v>3</v>
      </c>
      <c r="AO7">
        <v>0</v>
      </c>
      <c r="AP7">
        <v>2</v>
      </c>
      <c r="AQ7">
        <v>5</v>
      </c>
      <c r="AR7">
        <v>4</v>
      </c>
      <c r="AS7">
        <v>5</v>
      </c>
      <c r="AT7">
        <v>1</v>
      </c>
      <c r="AU7">
        <v>0</v>
      </c>
      <c r="AV7">
        <v>0</v>
      </c>
      <c r="AW7">
        <v>0</v>
      </c>
      <c r="AX7">
        <v>5</v>
      </c>
      <c r="AY7">
        <v>8</v>
      </c>
      <c r="AZ7">
        <v>3</v>
      </c>
      <c r="BA7">
        <v>8</v>
      </c>
      <c r="BB7">
        <v>0</v>
      </c>
      <c r="BC7">
        <v>7</v>
      </c>
      <c r="BD7">
        <v>5</v>
      </c>
      <c r="BE7">
        <v>3</v>
      </c>
      <c r="BF7">
        <v>3</v>
      </c>
      <c r="BG7">
        <v>4</v>
      </c>
      <c r="BH7">
        <v>8</v>
      </c>
      <c r="BI7">
        <v>3</v>
      </c>
      <c r="BJ7">
        <v>1</v>
      </c>
      <c r="BK7">
        <v>2</v>
      </c>
      <c r="BL7">
        <v>8</v>
      </c>
      <c r="BM7">
        <v>2</v>
      </c>
      <c r="BN7">
        <v>1</v>
      </c>
      <c r="BO7">
        <v>6</v>
      </c>
      <c r="BP7">
        <v>4</v>
      </c>
      <c r="BQ7">
        <v>6</v>
      </c>
      <c r="BR7">
        <v>8</v>
      </c>
      <c r="BS7">
        <v>0</v>
      </c>
      <c r="BT7">
        <v>8</v>
      </c>
      <c r="BU7">
        <v>0</v>
      </c>
      <c r="BV7">
        <v>1</v>
      </c>
      <c r="BW7">
        <v>0</v>
      </c>
      <c r="BX7">
        <v>3</v>
      </c>
      <c r="BY7">
        <v>1</v>
      </c>
      <c r="BZ7">
        <v>8</v>
      </c>
      <c r="CA7">
        <v>1</v>
      </c>
      <c r="CB7">
        <v>2</v>
      </c>
      <c r="CC7">
        <v>1</v>
      </c>
      <c r="CD7">
        <v>3</v>
      </c>
      <c r="CE7">
        <v>1</v>
      </c>
      <c r="CF7">
        <v>6</v>
      </c>
      <c r="CG7">
        <v>1</v>
      </c>
      <c r="CH7">
        <v>7</v>
      </c>
      <c r="CI7">
        <v>5</v>
      </c>
      <c r="CJ7">
        <v>6</v>
      </c>
      <c r="CK7">
        <v>2</v>
      </c>
      <c r="CL7">
        <v>5</v>
      </c>
      <c r="CM7">
        <v>0</v>
      </c>
      <c r="CN7">
        <v>0</v>
      </c>
      <c r="CO7">
        <v>8</v>
      </c>
      <c r="CP7">
        <v>5</v>
      </c>
      <c r="CQ7">
        <v>0</v>
      </c>
      <c r="CR7">
        <v>7</v>
      </c>
      <c r="CS7">
        <v>2</v>
      </c>
      <c r="CT7">
        <v>8</v>
      </c>
      <c r="CU7">
        <v>1</v>
      </c>
      <c r="CV7">
        <v>2</v>
      </c>
      <c r="CW7">
        <v>2</v>
      </c>
      <c r="CX7">
        <v>6</v>
      </c>
      <c r="CY7">
        <v>4</v>
      </c>
      <c r="CZ7">
        <v>1</v>
      </c>
      <c r="DA7">
        <v>1</v>
      </c>
      <c r="DB7">
        <v>8</v>
      </c>
      <c r="DC7">
        <v>3</v>
      </c>
      <c r="DD7">
        <v>5</v>
      </c>
      <c r="DE7">
        <v>1</v>
      </c>
      <c r="DF7">
        <v>6</v>
      </c>
      <c r="DG7">
        <v>2</v>
      </c>
      <c r="DH7">
        <v>4</v>
      </c>
      <c r="DI7">
        <v>8</v>
      </c>
      <c r="DJ7">
        <v>6</v>
      </c>
      <c r="DK7">
        <v>8</v>
      </c>
      <c r="DL7">
        <v>0</v>
      </c>
      <c r="DM7">
        <v>2</v>
      </c>
      <c r="DN7">
        <v>7</v>
      </c>
      <c r="DO7">
        <v>7</v>
      </c>
      <c r="DP7">
        <v>0</v>
      </c>
      <c r="DQ7">
        <v>0</v>
      </c>
      <c r="DR7">
        <v>5</v>
      </c>
      <c r="DS7">
        <v>5</v>
      </c>
      <c r="DT7">
        <v>0</v>
      </c>
      <c r="DU7">
        <v>6</v>
      </c>
      <c r="DV7">
        <v>5</v>
      </c>
      <c r="DW7">
        <v>1</v>
      </c>
      <c r="DX7">
        <v>5</v>
      </c>
      <c r="DY7">
        <v>1</v>
      </c>
      <c r="DZ7">
        <v>6</v>
      </c>
      <c r="EA7">
        <v>7</v>
      </c>
      <c r="EB7">
        <v>2</v>
      </c>
      <c r="EC7">
        <v>2</v>
      </c>
      <c r="ED7">
        <v>2</v>
      </c>
      <c r="EE7">
        <v>1</v>
      </c>
      <c r="EF7">
        <v>4</v>
      </c>
      <c r="EG7">
        <v>6</v>
      </c>
      <c r="EH7">
        <v>2</v>
      </c>
      <c r="EI7">
        <v>6</v>
      </c>
      <c r="EJ7">
        <v>6</v>
      </c>
      <c r="EK7">
        <v>1</v>
      </c>
      <c r="EL7">
        <v>8</v>
      </c>
      <c r="EM7">
        <v>1</v>
      </c>
      <c r="EN7">
        <v>3</v>
      </c>
      <c r="EO7">
        <v>8</v>
      </c>
      <c r="EP7">
        <v>2</v>
      </c>
      <c r="EQ7">
        <v>3</v>
      </c>
      <c r="ER7">
        <v>1</v>
      </c>
      <c r="ES7">
        <v>4</v>
      </c>
      <c r="ET7">
        <v>4</v>
      </c>
      <c r="EU7">
        <v>4</v>
      </c>
      <c r="EV7">
        <v>6</v>
      </c>
      <c r="EW7">
        <v>1</v>
      </c>
      <c r="EX7">
        <v>1</v>
      </c>
      <c r="EY7">
        <v>8</v>
      </c>
      <c r="EZ7">
        <v>0</v>
      </c>
      <c r="FA7">
        <v>4</v>
      </c>
      <c r="FB7">
        <v>4</v>
      </c>
      <c r="FC7">
        <v>3</v>
      </c>
      <c r="FD7">
        <v>6</v>
      </c>
      <c r="FE7">
        <v>5</v>
      </c>
      <c r="FF7">
        <v>6</v>
      </c>
      <c r="FG7">
        <v>7</v>
      </c>
      <c r="FH7">
        <v>3</v>
      </c>
      <c r="FI7">
        <v>6</v>
      </c>
      <c r="FJ7">
        <v>1</v>
      </c>
      <c r="FK7">
        <v>5</v>
      </c>
      <c r="FL7">
        <v>4</v>
      </c>
      <c r="FM7">
        <v>8</v>
      </c>
      <c r="FN7">
        <v>4</v>
      </c>
      <c r="FO7">
        <v>6</v>
      </c>
      <c r="FP7">
        <v>4</v>
      </c>
      <c r="FQ7">
        <v>6</v>
      </c>
      <c r="FR7">
        <v>1</v>
      </c>
      <c r="FS7">
        <v>3</v>
      </c>
      <c r="FT7">
        <v>0</v>
      </c>
      <c r="FU7">
        <v>7</v>
      </c>
      <c r="FV7">
        <v>1</v>
      </c>
      <c r="FW7">
        <v>5</v>
      </c>
      <c r="FX7">
        <v>8</v>
      </c>
      <c r="FY7">
        <v>7</v>
      </c>
      <c r="FZ7">
        <v>4</v>
      </c>
      <c r="GA7">
        <v>2</v>
      </c>
      <c r="GB7">
        <v>3</v>
      </c>
      <c r="GC7">
        <v>8</v>
      </c>
      <c r="GD7">
        <v>0</v>
      </c>
      <c r="GE7">
        <v>3</v>
      </c>
      <c r="GF7">
        <v>6</v>
      </c>
      <c r="GG7">
        <v>2</v>
      </c>
      <c r="GH7">
        <v>3</v>
      </c>
      <c r="GI7">
        <v>7</v>
      </c>
      <c r="GJ7">
        <v>7</v>
      </c>
      <c r="GK7">
        <v>8</v>
      </c>
      <c r="GL7">
        <v>3</v>
      </c>
      <c r="GM7">
        <v>1</v>
      </c>
      <c r="GN7">
        <v>5</v>
      </c>
      <c r="GO7">
        <v>5</v>
      </c>
      <c r="GP7">
        <v>0</v>
      </c>
      <c r="GQ7">
        <v>1</v>
      </c>
      <c r="GR7">
        <v>5</v>
      </c>
      <c r="GS7">
        <v>7</v>
      </c>
      <c r="GT7">
        <v>2</v>
      </c>
      <c r="GU7">
        <v>3</v>
      </c>
      <c r="GV7">
        <v>8</v>
      </c>
      <c r="GW7">
        <v>4</v>
      </c>
      <c r="GX7">
        <v>4</v>
      </c>
      <c r="GY7">
        <v>1</v>
      </c>
      <c r="GZ7">
        <v>2</v>
      </c>
      <c r="HA7">
        <v>5</v>
      </c>
      <c r="HB7">
        <v>1</v>
      </c>
      <c r="HC7">
        <v>3</v>
      </c>
      <c r="HD7">
        <v>7</v>
      </c>
      <c r="HE7">
        <v>5</v>
      </c>
      <c r="HF7">
        <v>6</v>
      </c>
      <c r="HG7">
        <v>6</v>
      </c>
      <c r="HH7">
        <v>1</v>
      </c>
      <c r="HI7">
        <v>4</v>
      </c>
      <c r="HJ7">
        <v>1</v>
      </c>
      <c r="HK7">
        <v>8</v>
      </c>
      <c r="HL7">
        <v>5</v>
      </c>
      <c r="HM7">
        <v>3</v>
      </c>
      <c r="HN7">
        <v>3</v>
      </c>
      <c r="HO7">
        <v>3</v>
      </c>
      <c r="HP7">
        <v>4</v>
      </c>
      <c r="HQ7">
        <v>2</v>
      </c>
      <c r="HR7">
        <v>3</v>
      </c>
      <c r="HS7">
        <v>5</v>
      </c>
      <c r="HT7">
        <v>3</v>
      </c>
      <c r="HU7">
        <v>3</v>
      </c>
      <c r="HV7">
        <v>1</v>
      </c>
      <c r="HW7">
        <v>2</v>
      </c>
      <c r="HX7">
        <v>2</v>
      </c>
      <c r="HY7">
        <v>8</v>
      </c>
      <c r="HZ7">
        <v>0</v>
      </c>
      <c r="IA7">
        <v>3</v>
      </c>
      <c r="IB7">
        <v>2</v>
      </c>
      <c r="IC7">
        <v>6</v>
      </c>
      <c r="ID7">
        <v>7</v>
      </c>
      <c r="IE7">
        <v>8</v>
      </c>
      <c r="IF7">
        <v>1</v>
      </c>
      <c r="IG7">
        <v>1</v>
      </c>
      <c r="IH7">
        <v>1</v>
      </c>
      <c r="II7">
        <v>4</v>
      </c>
      <c r="IJ7">
        <v>5</v>
      </c>
      <c r="IK7">
        <v>7</v>
      </c>
      <c r="IL7">
        <v>2</v>
      </c>
      <c r="IM7">
        <v>2</v>
      </c>
      <c r="IN7">
        <v>0</v>
      </c>
      <c r="IO7">
        <v>1</v>
      </c>
      <c r="IP7">
        <v>1</v>
      </c>
      <c r="IQ7">
        <v>7</v>
      </c>
      <c r="IR7">
        <v>2</v>
      </c>
      <c r="IS7">
        <v>0</v>
      </c>
      <c r="IT7">
        <v>6</v>
      </c>
      <c r="IU7">
        <v>2</v>
      </c>
      <c r="IV7">
        <v>3</v>
      </c>
      <c r="IW7">
        <v>6</v>
      </c>
      <c r="IX7">
        <v>3</v>
      </c>
      <c r="IY7">
        <v>5</v>
      </c>
      <c r="IZ7">
        <v>1</v>
      </c>
      <c r="JA7">
        <v>6</v>
      </c>
      <c r="JB7">
        <v>2</v>
      </c>
      <c r="JC7">
        <v>4</v>
      </c>
      <c r="JD7">
        <v>0</v>
      </c>
      <c r="JE7">
        <v>5</v>
      </c>
      <c r="JF7">
        <v>8</v>
      </c>
      <c r="JG7">
        <v>8</v>
      </c>
      <c r="JH7">
        <v>0</v>
      </c>
      <c r="JI7">
        <v>6</v>
      </c>
      <c r="JJ7">
        <v>3</v>
      </c>
      <c r="JK7">
        <v>6</v>
      </c>
      <c r="JL7">
        <v>7</v>
      </c>
      <c r="JM7">
        <v>4</v>
      </c>
      <c r="JN7">
        <v>8</v>
      </c>
      <c r="JO7">
        <v>8</v>
      </c>
      <c r="JP7">
        <v>3</v>
      </c>
      <c r="JQ7">
        <v>0</v>
      </c>
      <c r="JR7">
        <v>7</v>
      </c>
      <c r="JS7">
        <v>5</v>
      </c>
      <c r="JT7">
        <v>2</v>
      </c>
      <c r="JU7">
        <v>0</v>
      </c>
      <c r="JV7">
        <v>5</v>
      </c>
      <c r="JW7">
        <v>2</v>
      </c>
      <c r="JX7">
        <v>6</v>
      </c>
      <c r="JY7">
        <v>2</v>
      </c>
      <c r="JZ7">
        <v>6</v>
      </c>
      <c r="KA7">
        <v>3</v>
      </c>
      <c r="KB7">
        <v>1</v>
      </c>
      <c r="KC7">
        <v>2</v>
      </c>
      <c r="KD7">
        <v>1</v>
      </c>
      <c r="KE7">
        <v>3</v>
      </c>
      <c r="KF7">
        <v>8</v>
      </c>
      <c r="KG7">
        <v>7</v>
      </c>
      <c r="KH7">
        <v>2</v>
      </c>
      <c r="KI7">
        <v>4</v>
      </c>
      <c r="KJ7">
        <v>2</v>
      </c>
      <c r="KK7">
        <v>0</v>
      </c>
      <c r="KL7">
        <v>3</v>
      </c>
      <c r="KM7">
        <v>5</v>
      </c>
      <c r="KN7">
        <v>5</v>
      </c>
      <c r="KO7">
        <v>2</v>
      </c>
      <c r="KP7">
        <v>1</v>
      </c>
      <c r="KQ7">
        <v>8</v>
      </c>
      <c r="KR7">
        <v>5</v>
      </c>
      <c r="KS7">
        <v>2</v>
      </c>
      <c r="KT7">
        <v>5</v>
      </c>
      <c r="KU7">
        <v>3</v>
      </c>
      <c r="KV7">
        <v>7</v>
      </c>
      <c r="KW7">
        <v>1</v>
      </c>
      <c r="KX7">
        <v>8</v>
      </c>
      <c r="KY7">
        <v>6</v>
      </c>
      <c r="KZ7">
        <v>4</v>
      </c>
      <c r="LA7">
        <v>4</v>
      </c>
      <c r="LB7">
        <v>4</v>
      </c>
      <c r="LC7">
        <v>7</v>
      </c>
      <c r="LD7">
        <v>0</v>
      </c>
      <c r="LE7">
        <v>8</v>
      </c>
      <c r="LF7">
        <v>7</v>
      </c>
      <c r="LG7">
        <v>6</v>
      </c>
      <c r="LH7">
        <v>1</v>
      </c>
      <c r="LI7">
        <v>6</v>
      </c>
      <c r="LJ7">
        <v>4</v>
      </c>
      <c r="LK7">
        <v>1</v>
      </c>
      <c r="LL7">
        <v>7</v>
      </c>
      <c r="LM7">
        <v>7</v>
      </c>
      <c r="LN7">
        <v>2</v>
      </c>
      <c r="LO7">
        <v>0</v>
      </c>
      <c r="LP7">
        <v>3</v>
      </c>
      <c r="LQ7">
        <v>5</v>
      </c>
      <c r="LR7">
        <v>5</v>
      </c>
      <c r="LS7">
        <v>4</v>
      </c>
      <c r="LT7">
        <v>5</v>
      </c>
      <c r="LU7">
        <v>5</v>
      </c>
      <c r="LV7">
        <v>4</v>
      </c>
      <c r="LW7">
        <v>8</v>
      </c>
      <c r="LX7">
        <v>1</v>
      </c>
      <c r="LY7">
        <v>2</v>
      </c>
      <c r="LZ7">
        <v>6</v>
      </c>
      <c r="MA7">
        <v>8</v>
      </c>
      <c r="MB7">
        <v>5</v>
      </c>
      <c r="MC7">
        <v>8</v>
      </c>
      <c r="MD7">
        <v>4</v>
      </c>
      <c r="ME7">
        <v>0</v>
      </c>
      <c r="MF7">
        <v>3</v>
      </c>
      <c r="MG7">
        <v>4</v>
      </c>
      <c r="MH7">
        <v>8</v>
      </c>
      <c r="MI7">
        <v>8</v>
      </c>
      <c r="MJ7">
        <v>4</v>
      </c>
      <c r="MK7">
        <v>3</v>
      </c>
      <c r="ML7">
        <v>6</v>
      </c>
      <c r="MM7">
        <v>8</v>
      </c>
      <c r="MN7">
        <v>2</v>
      </c>
      <c r="MO7">
        <v>8</v>
      </c>
      <c r="MP7">
        <v>1</v>
      </c>
      <c r="MQ7">
        <v>0</v>
      </c>
      <c r="MR7">
        <v>2</v>
      </c>
      <c r="MS7">
        <v>5</v>
      </c>
      <c r="MT7">
        <v>4</v>
      </c>
      <c r="MU7">
        <v>5</v>
      </c>
      <c r="MV7">
        <v>5</v>
      </c>
      <c r="MW7">
        <v>5</v>
      </c>
      <c r="MX7">
        <v>4</v>
      </c>
      <c r="MY7">
        <v>1</v>
      </c>
      <c r="MZ7">
        <v>3</v>
      </c>
      <c r="NA7">
        <v>8</v>
      </c>
      <c r="NB7">
        <v>5</v>
      </c>
      <c r="NE7" s="35" t="str">
        <f t="shared" si="8"/>
        <v>T. Sachin</v>
      </c>
      <c r="NF7" s="5">
        <f t="shared" si="9"/>
        <v>132</v>
      </c>
      <c r="NG7" s="5">
        <f t="shared" si="9"/>
        <v>114</v>
      </c>
      <c r="NH7" s="5">
        <f t="shared" si="9"/>
        <v>102</v>
      </c>
      <c r="NI7" s="5">
        <f t="shared" si="9"/>
        <v>114</v>
      </c>
      <c r="NJ7" s="5">
        <f t="shared" si="9"/>
        <v>117</v>
      </c>
      <c r="NK7" s="5">
        <f t="shared" si="9"/>
        <v>128</v>
      </c>
      <c r="NL7" s="5">
        <f t="shared" si="9"/>
        <v>121</v>
      </c>
      <c r="NM7" s="5">
        <f t="shared" si="9"/>
        <v>111</v>
      </c>
      <c r="NN7" s="5">
        <f t="shared" si="9"/>
        <v>115</v>
      </c>
      <c r="NO7" s="5">
        <f t="shared" si="9"/>
        <v>110</v>
      </c>
      <c r="NP7" s="5">
        <f t="shared" si="9"/>
        <v>137</v>
      </c>
      <c r="NQ7" s="5">
        <f t="shared" si="9"/>
        <v>136</v>
      </c>
      <c r="NS7" t="str">
        <f t="shared" si="10"/>
        <v>T. Sachin</v>
      </c>
      <c r="NT7" s="38">
        <v>70</v>
      </c>
      <c r="NU7" s="37">
        <f t="shared" si="11"/>
        <v>9240</v>
      </c>
      <c r="NV7" s="37">
        <f t="shared" si="7"/>
        <v>7980</v>
      </c>
      <c r="NW7" s="37">
        <f t="shared" si="7"/>
        <v>7140</v>
      </c>
      <c r="NX7" s="37">
        <f t="shared" si="7"/>
        <v>7980</v>
      </c>
      <c r="NY7" s="37">
        <f t="shared" si="7"/>
        <v>8190</v>
      </c>
      <c r="NZ7" s="37">
        <f t="shared" si="7"/>
        <v>8960</v>
      </c>
      <c r="OA7" s="37">
        <f t="shared" si="7"/>
        <v>8470</v>
      </c>
      <c r="OB7" s="37">
        <f t="shared" si="7"/>
        <v>7770</v>
      </c>
      <c r="OC7" s="37">
        <f t="shared" si="7"/>
        <v>8050</v>
      </c>
      <c r="OD7" s="37">
        <f t="shared" si="7"/>
        <v>7700</v>
      </c>
      <c r="OE7" s="37">
        <f t="shared" si="7"/>
        <v>9590</v>
      </c>
      <c r="OF7" s="37">
        <f t="shared" si="7"/>
        <v>9520</v>
      </c>
      <c r="OH7" s="39" t="str">
        <f t="shared" si="12"/>
        <v>Below</v>
      </c>
    </row>
    <row r="8" spans="1:398" x14ac:dyDescent="0.25">
      <c r="A8" t="s">
        <v>24</v>
      </c>
      <c r="B8">
        <v>8</v>
      </c>
      <c r="C8">
        <v>4</v>
      </c>
      <c r="D8">
        <v>6</v>
      </c>
      <c r="E8">
        <v>7</v>
      </c>
      <c r="F8">
        <v>1</v>
      </c>
      <c r="G8">
        <v>8</v>
      </c>
      <c r="H8">
        <v>2</v>
      </c>
      <c r="I8">
        <v>7</v>
      </c>
      <c r="J8">
        <v>2</v>
      </c>
      <c r="K8">
        <v>6</v>
      </c>
      <c r="L8">
        <v>5</v>
      </c>
      <c r="M8">
        <v>0</v>
      </c>
      <c r="N8">
        <v>5</v>
      </c>
      <c r="O8">
        <v>4</v>
      </c>
      <c r="P8">
        <v>2</v>
      </c>
      <c r="Q8">
        <v>7</v>
      </c>
      <c r="R8">
        <v>4</v>
      </c>
      <c r="S8">
        <v>3</v>
      </c>
      <c r="T8">
        <v>1</v>
      </c>
      <c r="U8">
        <v>6</v>
      </c>
      <c r="V8">
        <v>1</v>
      </c>
      <c r="W8">
        <v>8</v>
      </c>
      <c r="X8">
        <v>1</v>
      </c>
      <c r="Y8">
        <v>7</v>
      </c>
      <c r="Z8">
        <v>7</v>
      </c>
      <c r="AA8">
        <v>6</v>
      </c>
      <c r="AB8">
        <v>2</v>
      </c>
      <c r="AC8">
        <v>3</v>
      </c>
      <c r="AD8">
        <v>2</v>
      </c>
      <c r="AE8">
        <v>4</v>
      </c>
      <c r="AF8">
        <v>4</v>
      </c>
      <c r="AG8">
        <v>8</v>
      </c>
      <c r="AH8">
        <v>0</v>
      </c>
      <c r="AI8">
        <v>8</v>
      </c>
      <c r="AJ8">
        <v>7</v>
      </c>
      <c r="AK8">
        <v>6</v>
      </c>
      <c r="AL8">
        <v>7</v>
      </c>
      <c r="AM8">
        <v>8</v>
      </c>
      <c r="AN8">
        <v>0</v>
      </c>
      <c r="AO8">
        <v>3</v>
      </c>
      <c r="AP8">
        <v>7</v>
      </c>
      <c r="AQ8">
        <v>1</v>
      </c>
      <c r="AR8">
        <v>3</v>
      </c>
      <c r="AS8">
        <v>5</v>
      </c>
      <c r="AT8">
        <v>4</v>
      </c>
      <c r="AU8">
        <v>6</v>
      </c>
      <c r="AV8">
        <v>7</v>
      </c>
      <c r="AW8">
        <v>8</v>
      </c>
      <c r="AX8">
        <v>5</v>
      </c>
      <c r="AY8">
        <v>2</v>
      </c>
      <c r="AZ8">
        <v>6</v>
      </c>
      <c r="BA8">
        <v>4</v>
      </c>
      <c r="BB8">
        <v>0</v>
      </c>
      <c r="BC8">
        <v>0</v>
      </c>
      <c r="BD8">
        <v>1</v>
      </c>
      <c r="BE8">
        <v>4</v>
      </c>
      <c r="BF8">
        <v>1</v>
      </c>
      <c r="BG8">
        <v>1</v>
      </c>
      <c r="BH8">
        <v>7</v>
      </c>
      <c r="BI8">
        <v>0</v>
      </c>
      <c r="BJ8">
        <v>7</v>
      </c>
      <c r="BK8">
        <v>2</v>
      </c>
      <c r="BL8">
        <v>0</v>
      </c>
      <c r="BM8">
        <v>0</v>
      </c>
      <c r="BN8">
        <v>0</v>
      </c>
      <c r="BO8">
        <v>7</v>
      </c>
      <c r="BP8">
        <v>5</v>
      </c>
      <c r="BQ8">
        <v>0</v>
      </c>
      <c r="BR8">
        <v>1</v>
      </c>
      <c r="BS8">
        <v>3</v>
      </c>
      <c r="BT8">
        <v>3</v>
      </c>
      <c r="BU8">
        <v>3</v>
      </c>
      <c r="BV8">
        <v>8</v>
      </c>
      <c r="BW8">
        <v>7</v>
      </c>
      <c r="BX8">
        <v>0</v>
      </c>
      <c r="BY8">
        <v>0</v>
      </c>
      <c r="BZ8">
        <v>4</v>
      </c>
      <c r="CA8">
        <v>8</v>
      </c>
      <c r="CB8">
        <v>0</v>
      </c>
      <c r="CC8">
        <v>3</v>
      </c>
      <c r="CD8">
        <v>8</v>
      </c>
      <c r="CE8">
        <v>8</v>
      </c>
      <c r="CF8">
        <v>0</v>
      </c>
      <c r="CG8">
        <v>6</v>
      </c>
      <c r="CH8">
        <v>4</v>
      </c>
      <c r="CI8">
        <v>8</v>
      </c>
      <c r="CJ8">
        <v>0</v>
      </c>
      <c r="CK8">
        <v>7</v>
      </c>
      <c r="CL8">
        <v>2</v>
      </c>
      <c r="CM8">
        <v>6</v>
      </c>
      <c r="CN8">
        <v>3</v>
      </c>
      <c r="CO8">
        <v>5</v>
      </c>
      <c r="CP8">
        <v>1</v>
      </c>
      <c r="CQ8">
        <v>7</v>
      </c>
      <c r="CR8">
        <v>7</v>
      </c>
      <c r="CS8">
        <v>1</v>
      </c>
      <c r="CT8">
        <v>1</v>
      </c>
      <c r="CU8">
        <v>7</v>
      </c>
      <c r="CV8">
        <v>7</v>
      </c>
      <c r="CW8">
        <v>6</v>
      </c>
      <c r="CX8">
        <v>5</v>
      </c>
      <c r="CY8">
        <v>3</v>
      </c>
      <c r="CZ8">
        <v>8</v>
      </c>
      <c r="DA8">
        <v>0</v>
      </c>
      <c r="DB8">
        <v>3</v>
      </c>
      <c r="DC8">
        <v>4</v>
      </c>
      <c r="DD8">
        <v>0</v>
      </c>
      <c r="DE8">
        <v>5</v>
      </c>
      <c r="DF8">
        <v>1</v>
      </c>
      <c r="DG8">
        <v>3</v>
      </c>
      <c r="DH8">
        <v>1</v>
      </c>
      <c r="DI8">
        <v>7</v>
      </c>
      <c r="DJ8">
        <v>8</v>
      </c>
      <c r="DK8">
        <v>4</v>
      </c>
      <c r="DL8">
        <v>2</v>
      </c>
      <c r="DM8">
        <v>0</v>
      </c>
      <c r="DN8">
        <v>5</v>
      </c>
      <c r="DO8">
        <v>0</v>
      </c>
      <c r="DP8">
        <v>7</v>
      </c>
      <c r="DQ8">
        <v>4</v>
      </c>
      <c r="DR8">
        <v>8</v>
      </c>
      <c r="DS8">
        <v>6</v>
      </c>
      <c r="DT8">
        <v>8</v>
      </c>
      <c r="DU8">
        <v>1</v>
      </c>
      <c r="DV8">
        <v>4</v>
      </c>
      <c r="DW8">
        <v>0</v>
      </c>
      <c r="DX8">
        <v>0</v>
      </c>
      <c r="DY8">
        <v>0</v>
      </c>
      <c r="DZ8">
        <v>5</v>
      </c>
      <c r="EA8">
        <v>6</v>
      </c>
      <c r="EB8">
        <v>3</v>
      </c>
      <c r="EC8">
        <v>0</v>
      </c>
      <c r="ED8">
        <v>3</v>
      </c>
      <c r="EE8">
        <v>5</v>
      </c>
      <c r="EF8">
        <v>5</v>
      </c>
      <c r="EG8">
        <v>0</v>
      </c>
      <c r="EH8">
        <v>7</v>
      </c>
      <c r="EI8">
        <v>3</v>
      </c>
      <c r="EJ8">
        <v>0</v>
      </c>
      <c r="EK8">
        <v>6</v>
      </c>
      <c r="EL8">
        <v>8</v>
      </c>
      <c r="EM8">
        <v>3</v>
      </c>
      <c r="EN8">
        <v>5</v>
      </c>
      <c r="EO8">
        <v>5</v>
      </c>
      <c r="EP8">
        <v>0</v>
      </c>
      <c r="EQ8">
        <v>5</v>
      </c>
      <c r="ER8">
        <v>8</v>
      </c>
      <c r="ES8">
        <v>6</v>
      </c>
      <c r="ET8">
        <v>4</v>
      </c>
      <c r="EU8">
        <v>4</v>
      </c>
      <c r="EV8">
        <v>8</v>
      </c>
      <c r="EW8">
        <v>1</v>
      </c>
      <c r="EX8">
        <v>4</v>
      </c>
      <c r="EY8">
        <v>1</v>
      </c>
      <c r="EZ8">
        <v>7</v>
      </c>
      <c r="FA8">
        <v>0</v>
      </c>
      <c r="FB8">
        <v>7</v>
      </c>
      <c r="FC8">
        <v>6</v>
      </c>
      <c r="FD8">
        <v>1</v>
      </c>
      <c r="FE8">
        <v>2</v>
      </c>
      <c r="FF8">
        <v>8</v>
      </c>
      <c r="FG8">
        <v>0</v>
      </c>
      <c r="FH8">
        <v>5</v>
      </c>
      <c r="FI8">
        <v>5</v>
      </c>
      <c r="FJ8">
        <v>3</v>
      </c>
      <c r="FK8">
        <v>5</v>
      </c>
      <c r="FL8">
        <v>2</v>
      </c>
      <c r="FM8">
        <v>1</v>
      </c>
      <c r="FN8">
        <v>7</v>
      </c>
      <c r="FO8">
        <v>6</v>
      </c>
      <c r="FP8">
        <v>6</v>
      </c>
      <c r="FQ8">
        <v>5</v>
      </c>
      <c r="FR8">
        <v>4</v>
      </c>
      <c r="FS8">
        <v>3</v>
      </c>
      <c r="FT8">
        <v>2</v>
      </c>
      <c r="FU8">
        <v>4</v>
      </c>
      <c r="FV8">
        <v>6</v>
      </c>
      <c r="FW8">
        <v>6</v>
      </c>
      <c r="FX8">
        <v>5</v>
      </c>
      <c r="FY8">
        <v>8</v>
      </c>
      <c r="FZ8">
        <v>6</v>
      </c>
      <c r="GA8">
        <v>0</v>
      </c>
      <c r="GB8">
        <v>5</v>
      </c>
      <c r="GC8">
        <v>5</v>
      </c>
      <c r="GD8">
        <v>3</v>
      </c>
      <c r="GE8">
        <v>7</v>
      </c>
      <c r="GF8">
        <v>1</v>
      </c>
      <c r="GG8">
        <v>6</v>
      </c>
      <c r="GH8">
        <v>6</v>
      </c>
      <c r="GI8">
        <v>3</v>
      </c>
      <c r="GJ8">
        <v>4</v>
      </c>
      <c r="GK8">
        <v>5</v>
      </c>
      <c r="GL8">
        <v>8</v>
      </c>
      <c r="GM8">
        <v>1</v>
      </c>
      <c r="GN8">
        <v>5</v>
      </c>
      <c r="GO8">
        <v>8</v>
      </c>
      <c r="GP8">
        <v>8</v>
      </c>
      <c r="GQ8">
        <v>8</v>
      </c>
      <c r="GR8">
        <v>0</v>
      </c>
      <c r="GS8">
        <v>2</v>
      </c>
      <c r="GT8">
        <v>1</v>
      </c>
      <c r="GU8">
        <v>8</v>
      </c>
      <c r="GV8">
        <v>3</v>
      </c>
      <c r="GW8">
        <v>8</v>
      </c>
      <c r="GX8">
        <v>1</v>
      </c>
      <c r="GY8">
        <v>7</v>
      </c>
      <c r="GZ8">
        <v>6</v>
      </c>
      <c r="HA8">
        <v>6</v>
      </c>
      <c r="HB8">
        <v>3</v>
      </c>
      <c r="HC8">
        <v>7</v>
      </c>
      <c r="HD8">
        <v>8</v>
      </c>
      <c r="HE8">
        <v>8</v>
      </c>
      <c r="HF8">
        <v>4</v>
      </c>
      <c r="HG8">
        <v>7</v>
      </c>
      <c r="HH8">
        <v>2</v>
      </c>
      <c r="HI8">
        <v>7</v>
      </c>
      <c r="HJ8">
        <v>0</v>
      </c>
      <c r="HK8">
        <v>4</v>
      </c>
      <c r="HL8">
        <v>0</v>
      </c>
      <c r="HM8">
        <v>0</v>
      </c>
      <c r="HN8">
        <v>7</v>
      </c>
      <c r="HO8">
        <v>5</v>
      </c>
      <c r="HP8">
        <v>3</v>
      </c>
      <c r="HQ8">
        <v>2</v>
      </c>
      <c r="HR8">
        <v>4</v>
      </c>
      <c r="HS8">
        <v>1</v>
      </c>
      <c r="HT8">
        <v>0</v>
      </c>
      <c r="HU8">
        <v>2</v>
      </c>
      <c r="HV8">
        <v>5</v>
      </c>
      <c r="HW8">
        <v>5</v>
      </c>
      <c r="HX8">
        <v>5</v>
      </c>
      <c r="HY8">
        <v>6</v>
      </c>
      <c r="HZ8">
        <v>5</v>
      </c>
      <c r="IA8">
        <v>8</v>
      </c>
      <c r="IB8">
        <v>2</v>
      </c>
      <c r="IC8">
        <v>4</v>
      </c>
      <c r="ID8">
        <v>2</v>
      </c>
      <c r="IE8">
        <v>4</v>
      </c>
      <c r="IF8">
        <v>7</v>
      </c>
      <c r="IG8">
        <v>8</v>
      </c>
      <c r="IH8">
        <v>3</v>
      </c>
      <c r="II8">
        <v>8</v>
      </c>
      <c r="IJ8">
        <v>7</v>
      </c>
      <c r="IK8">
        <v>4</v>
      </c>
      <c r="IL8">
        <v>0</v>
      </c>
      <c r="IM8">
        <v>3</v>
      </c>
      <c r="IN8">
        <v>8</v>
      </c>
      <c r="IO8">
        <v>3</v>
      </c>
      <c r="IP8">
        <v>3</v>
      </c>
      <c r="IQ8">
        <v>1</v>
      </c>
      <c r="IR8">
        <v>2</v>
      </c>
      <c r="IS8">
        <v>0</v>
      </c>
      <c r="IT8">
        <v>7</v>
      </c>
      <c r="IU8">
        <v>2</v>
      </c>
      <c r="IV8">
        <v>2</v>
      </c>
      <c r="IW8">
        <v>6</v>
      </c>
      <c r="IX8">
        <v>1</v>
      </c>
      <c r="IY8">
        <v>3</v>
      </c>
      <c r="IZ8">
        <v>5</v>
      </c>
      <c r="JA8">
        <v>8</v>
      </c>
      <c r="JB8">
        <v>5</v>
      </c>
      <c r="JC8">
        <v>6</v>
      </c>
      <c r="JD8">
        <v>8</v>
      </c>
      <c r="JE8">
        <v>2</v>
      </c>
      <c r="JF8">
        <v>6</v>
      </c>
      <c r="JG8">
        <v>5</v>
      </c>
      <c r="JH8">
        <v>1</v>
      </c>
      <c r="JI8">
        <v>7</v>
      </c>
      <c r="JJ8">
        <v>1</v>
      </c>
      <c r="JK8">
        <v>6</v>
      </c>
      <c r="JL8">
        <v>7</v>
      </c>
      <c r="JM8">
        <v>5</v>
      </c>
      <c r="JN8">
        <v>2</v>
      </c>
      <c r="JO8">
        <v>3</v>
      </c>
      <c r="JP8">
        <v>3</v>
      </c>
      <c r="JQ8">
        <v>0</v>
      </c>
      <c r="JR8">
        <v>8</v>
      </c>
      <c r="JS8">
        <v>3</v>
      </c>
      <c r="JT8">
        <v>6</v>
      </c>
      <c r="JU8">
        <v>2</v>
      </c>
      <c r="JV8">
        <v>6</v>
      </c>
      <c r="JW8">
        <v>4</v>
      </c>
      <c r="JX8">
        <v>0</v>
      </c>
      <c r="JY8">
        <v>1</v>
      </c>
      <c r="JZ8">
        <v>5</v>
      </c>
      <c r="KA8">
        <v>5</v>
      </c>
      <c r="KB8">
        <v>3</v>
      </c>
      <c r="KC8">
        <v>7</v>
      </c>
      <c r="KD8">
        <v>3</v>
      </c>
      <c r="KE8">
        <v>2</v>
      </c>
      <c r="KF8">
        <v>7</v>
      </c>
      <c r="KG8">
        <v>1</v>
      </c>
      <c r="KH8">
        <v>4</v>
      </c>
      <c r="KI8">
        <v>3</v>
      </c>
      <c r="KJ8">
        <v>5</v>
      </c>
      <c r="KK8">
        <v>6</v>
      </c>
      <c r="KL8">
        <v>8</v>
      </c>
      <c r="KM8">
        <v>0</v>
      </c>
      <c r="KN8">
        <v>5</v>
      </c>
      <c r="KO8">
        <v>7</v>
      </c>
      <c r="KP8">
        <v>0</v>
      </c>
      <c r="KQ8">
        <v>4</v>
      </c>
      <c r="KR8">
        <v>7</v>
      </c>
      <c r="KS8">
        <v>1</v>
      </c>
      <c r="KT8">
        <v>5</v>
      </c>
      <c r="KU8">
        <v>2</v>
      </c>
      <c r="KV8">
        <v>0</v>
      </c>
      <c r="KW8">
        <v>6</v>
      </c>
      <c r="KX8">
        <v>8</v>
      </c>
      <c r="KY8">
        <v>5</v>
      </c>
      <c r="KZ8">
        <v>0</v>
      </c>
      <c r="LA8">
        <v>7</v>
      </c>
      <c r="LB8">
        <v>5</v>
      </c>
      <c r="LC8">
        <v>5</v>
      </c>
      <c r="LD8">
        <v>7</v>
      </c>
      <c r="LE8">
        <v>0</v>
      </c>
      <c r="LF8">
        <v>5</v>
      </c>
      <c r="LG8">
        <v>5</v>
      </c>
      <c r="LH8">
        <v>8</v>
      </c>
      <c r="LI8">
        <v>8</v>
      </c>
      <c r="LJ8">
        <v>2</v>
      </c>
      <c r="LK8">
        <v>5</v>
      </c>
      <c r="LL8">
        <v>4</v>
      </c>
      <c r="LM8">
        <v>1</v>
      </c>
      <c r="LN8">
        <v>4</v>
      </c>
      <c r="LO8">
        <v>5</v>
      </c>
      <c r="LP8">
        <v>7</v>
      </c>
      <c r="LQ8">
        <v>3</v>
      </c>
      <c r="LR8">
        <v>0</v>
      </c>
      <c r="LS8">
        <v>0</v>
      </c>
      <c r="LT8">
        <v>7</v>
      </c>
      <c r="LU8">
        <v>6</v>
      </c>
      <c r="LV8">
        <v>5</v>
      </c>
      <c r="LW8">
        <v>7</v>
      </c>
      <c r="LX8">
        <v>1</v>
      </c>
      <c r="LY8">
        <v>1</v>
      </c>
      <c r="LZ8">
        <v>3</v>
      </c>
      <c r="MA8">
        <v>1</v>
      </c>
      <c r="MB8">
        <v>5</v>
      </c>
      <c r="MC8">
        <v>3</v>
      </c>
      <c r="MD8">
        <v>6</v>
      </c>
      <c r="ME8">
        <v>5</v>
      </c>
      <c r="MF8">
        <v>4</v>
      </c>
      <c r="MG8">
        <v>6</v>
      </c>
      <c r="MH8">
        <v>7</v>
      </c>
      <c r="MI8">
        <v>6</v>
      </c>
      <c r="MJ8">
        <v>3</v>
      </c>
      <c r="MK8">
        <v>1</v>
      </c>
      <c r="ML8">
        <v>6</v>
      </c>
      <c r="MM8">
        <v>7</v>
      </c>
      <c r="MN8">
        <v>0</v>
      </c>
      <c r="MO8">
        <v>1</v>
      </c>
      <c r="MP8">
        <v>2</v>
      </c>
      <c r="MQ8">
        <v>0</v>
      </c>
      <c r="MR8">
        <v>8</v>
      </c>
      <c r="MS8">
        <v>1</v>
      </c>
      <c r="MT8">
        <v>5</v>
      </c>
      <c r="MU8">
        <v>0</v>
      </c>
      <c r="MV8">
        <v>8</v>
      </c>
      <c r="MW8">
        <v>0</v>
      </c>
      <c r="MX8">
        <v>2</v>
      </c>
      <c r="MY8">
        <v>4</v>
      </c>
      <c r="MZ8">
        <v>5</v>
      </c>
      <c r="NA8">
        <v>1</v>
      </c>
      <c r="NB8">
        <v>6</v>
      </c>
      <c r="NE8" s="35" t="str">
        <f t="shared" si="8"/>
        <v>K. Ahmed</v>
      </c>
      <c r="NF8" s="5">
        <f t="shared" si="9"/>
        <v>133</v>
      </c>
      <c r="NG8" s="5">
        <f t="shared" si="9"/>
        <v>119</v>
      </c>
      <c r="NH8" s="5">
        <f t="shared" si="9"/>
        <v>110</v>
      </c>
      <c r="NI8" s="5">
        <f t="shared" si="9"/>
        <v>115</v>
      </c>
      <c r="NJ8" s="5">
        <f t="shared" si="9"/>
        <v>126</v>
      </c>
      <c r="NK8" s="5">
        <f t="shared" si="9"/>
        <v>126</v>
      </c>
      <c r="NL8" s="5">
        <f t="shared" si="9"/>
        <v>151</v>
      </c>
      <c r="NM8" s="5">
        <f t="shared" si="9"/>
        <v>127</v>
      </c>
      <c r="NN8" s="5">
        <f t="shared" si="9"/>
        <v>119</v>
      </c>
      <c r="NO8" s="5">
        <f t="shared" si="9"/>
        <v>119</v>
      </c>
      <c r="NP8" s="5">
        <f t="shared" si="9"/>
        <v>132</v>
      </c>
      <c r="NQ8" s="5">
        <f t="shared" si="9"/>
        <v>108</v>
      </c>
      <c r="NS8" t="str">
        <f t="shared" si="10"/>
        <v>K. Ahmed</v>
      </c>
      <c r="NT8" s="38">
        <v>60</v>
      </c>
      <c r="NU8" s="37">
        <f t="shared" si="11"/>
        <v>7980</v>
      </c>
      <c r="NV8" s="37">
        <f t="shared" si="7"/>
        <v>7140</v>
      </c>
      <c r="NW8" s="37">
        <f t="shared" si="7"/>
        <v>6600</v>
      </c>
      <c r="NX8" s="37">
        <f t="shared" si="7"/>
        <v>6900</v>
      </c>
      <c r="NY8" s="37">
        <f t="shared" si="7"/>
        <v>7560</v>
      </c>
      <c r="NZ8" s="37">
        <f t="shared" si="7"/>
        <v>7560</v>
      </c>
      <c r="OA8" s="37">
        <f t="shared" si="7"/>
        <v>9060</v>
      </c>
      <c r="OB8" s="37">
        <f t="shared" si="7"/>
        <v>7620</v>
      </c>
      <c r="OC8" s="37">
        <f t="shared" si="7"/>
        <v>7140</v>
      </c>
      <c r="OD8" s="37">
        <f t="shared" si="7"/>
        <v>7140</v>
      </c>
      <c r="OE8" s="37">
        <f t="shared" si="7"/>
        <v>7920</v>
      </c>
      <c r="OF8" s="37">
        <f t="shared" si="7"/>
        <v>6480</v>
      </c>
      <c r="OH8" s="39" t="str">
        <f t="shared" si="12"/>
        <v>Below</v>
      </c>
    </row>
    <row r="9" spans="1:398" x14ac:dyDescent="0.25">
      <c r="A9" t="s">
        <v>25</v>
      </c>
      <c r="B9">
        <v>3</v>
      </c>
      <c r="C9">
        <v>2</v>
      </c>
      <c r="D9">
        <v>8</v>
      </c>
      <c r="E9">
        <v>2</v>
      </c>
      <c r="F9">
        <v>0</v>
      </c>
      <c r="G9">
        <v>3</v>
      </c>
      <c r="H9">
        <v>1</v>
      </c>
      <c r="I9">
        <v>6</v>
      </c>
      <c r="J9">
        <v>6</v>
      </c>
      <c r="K9">
        <v>3</v>
      </c>
      <c r="L9">
        <v>4</v>
      </c>
      <c r="M9">
        <v>1</v>
      </c>
      <c r="N9">
        <v>4</v>
      </c>
      <c r="O9">
        <v>2</v>
      </c>
      <c r="P9">
        <v>1</v>
      </c>
      <c r="Q9">
        <v>2</v>
      </c>
      <c r="R9">
        <v>6</v>
      </c>
      <c r="S9">
        <v>4</v>
      </c>
      <c r="T9">
        <v>0</v>
      </c>
      <c r="U9">
        <v>6</v>
      </c>
      <c r="V9">
        <v>4</v>
      </c>
      <c r="W9">
        <v>4</v>
      </c>
      <c r="X9">
        <v>7</v>
      </c>
      <c r="Y9">
        <v>3</v>
      </c>
      <c r="Z9">
        <v>5</v>
      </c>
      <c r="AA9">
        <v>8</v>
      </c>
      <c r="AB9">
        <v>4</v>
      </c>
      <c r="AC9">
        <v>5</v>
      </c>
      <c r="AD9">
        <v>4</v>
      </c>
      <c r="AE9">
        <v>8</v>
      </c>
      <c r="AF9">
        <v>5</v>
      </c>
      <c r="AG9">
        <v>6</v>
      </c>
      <c r="AH9">
        <v>0</v>
      </c>
      <c r="AI9">
        <v>3</v>
      </c>
      <c r="AJ9">
        <v>3</v>
      </c>
      <c r="AK9">
        <v>5</v>
      </c>
      <c r="AL9">
        <v>2</v>
      </c>
      <c r="AM9">
        <v>6</v>
      </c>
      <c r="AN9">
        <v>8</v>
      </c>
      <c r="AO9">
        <v>2</v>
      </c>
      <c r="AP9">
        <v>1</v>
      </c>
      <c r="AQ9">
        <v>4</v>
      </c>
      <c r="AR9">
        <v>6</v>
      </c>
      <c r="AS9">
        <v>7</v>
      </c>
      <c r="AT9">
        <v>7</v>
      </c>
      <c r="AU9">
        <v>8</v>
      </c>
      <c r="AV9">
        <v>7</v>
      </c>
      <c r="AW9">
        <v>5</v>
      </c>
      <c r="AX9">
        <v>1</v>
      </c>
      <c r="AY9">
        <v>4</v>
      </c>
      <c r="AZ9">
        <v>7</v>
      </c>
      <c r="BA9">
        <v>3</v>
      </c>
      <c r="BB9">
        <v>0</v>
      </c>
      <c r="BC9">
        <v>6</v>
      </c>
      <c r="BD9">
        <v>0</v>
      </c>
      <c r="BE9">
        <v>4</v>
      </c>
      <c r="BF9">
        <v>2</v>
      </c>
      <c r="BG9">
        <v>7</v>
      </c>
      <c r="BH9">
        <v>5</v>
      </c>
      <c r="BI9">
        <v>5</v>
      </c>
      <c r="BJ9">
        <v>7</v>
      </c>
      <c r="BK9">
        <v>6</v>
      </c>
      <c r="BL9">
        <v>6</v>
      </c>
      <c r="BM9">
        <v>3</v>
      </c>
      <c r="BN9">
        <v>3</v>
      </c>
      <c r="BO9">
        <v>2</v>
      </c>
      <c r="BP9">
        <v>7</v>
      </c>
      <c r="BQ9">
        <v>6</v>
      </c>
      <c r="BR9">
        <v>5</v>
      </c>
      <c r="BS9">
        <v>2</v>
      </c>
      <c r="BT9">
        <v>3</v>
      </c>
      <c r="BU9">
        <v>3</v>
      </c>
      <c r="BV9">
        <v>0</v>
      </c>
      <c r="BW9">
        <v>8</v>
      </c>
      <c r="BX9">
        <v>0</v>
      </c>
      <c r="BY9">
        <v>0</v>
      </c>
      <c r="BZ9">
        <v>7</v>
      </c>
      <c r="CA9">
        <v>0</v>
      </c>
      <c r="CB9">
        <v>3</v>
      </c>
      <c r="CC9">
        <v>2</v>
      </c>
      <c r="CD9">
        <v>3</v>
      </c>
      <c r="CE9">
        <v>4</v>
      </c>
      <c r="CF9">
        <v>6</v>
      </c>
      <c r="CG9">
        <v>6</v>
      </c>
      <c r="CH9">
        <v>7</v>
      </c>
      <c r="CI9">
        <v>7</v>
      </c>
      <c r="CJ9">
        <v>3</v>
      </c>
      <c r="CK9">
        <v>3</v>
      </c>
      <c r="CL9">
        <v>4</v>
      </c>
      <c r="CM9">
        <v>5</v>
      </c>
      <c r="CN9">
        <v>7</v>
      </c>
      <c r="CO9">
        <v>3</v>
      </c>
      <c r="CP9">
        <v>5</v>
      </c>
      <c r="CQ9">
        <v>7</v>
      </c>
      <c r="CR9">
        <v>0</v>
      </c>
      <c r="CS9">
        <v>0</v>
      </c>
      <c r="CT9">
        <v>0</v>
      </c>
      <c r="CU9">
        <v>4</v>
      </c>
      <c r="CV9">
        <v>5</v>
      </c>
      <c r="CW9">
        <v>0</v>
      </c>
      <c r="CX9">
        <v>6</v>
      </c>
      <c r="CY9">
        <v>7</v>
      </c>
      <c r="CZ9">
        <v>4</v>
      </c>
      <c r="DA9">
        <v>1</v>
      </c>
      <c r="DB9">
        <v>2</v>
      </c>
      <c r="DC9">
        <v>1</v>
      </c>
      <c r="DD9">
        <v>4</v>
      </c>
      <c r="DE9">
        <v>0</v>
      </c>
      <c r="DF9">
        <v>5</v>
      </c>
      <c r="DG9">
        <v>3</v>
      </c>
      <c r="DH9">
        <v>7</v>
      </c>
      <c r="DI9">
        <v>5</v>
      </c>
      <c r="DJ9">
        <v>5</v>
      </c>
      <c r="DK9">
        <v>5</v>
      </c>
      <c r="DL9">
        <v>8</v>
      </c>
      <c r="DM9">
        <v>4</v>
      </c>
      <c r="DN9">
        <v>7</v>
      </c>
      <c r="DO9">
        <v>2</v>
      </c>
      <c r="DP9">
        <v>1</v>
      </c>
      <c r="DQ9">
        <v>6</v>
      </c>
      <c r="DR9">
        <v>5</v>
      </c>
      <c r="DS9">
        <v>8</v>
      </c>
      <c r="DT9">
        <v>7</v>
      </c>
      <c r="DU9">
        <v>1</v>
      </c>
      <c r="DV9">
        <v>7</v>
      </c>
      <c r="DW9">
        <v>6</v>
      </c>
      <c r="DX9">
        <v>3</v>
      </c>
      <c r="DY9">
        <v>8</v>
      </c>
      <c r="DZ9">
        <v>7</v>
      </c>
      <c r="EA9">
        <v>5</v>
      </c>
      <c r="EB9">
        <v>8</v>
      </c>
      <c r="EC9">
        <v>4</v>
      </c>
      <c r="ED9">
        <v>1</v>
      </c>
      <c r="EE9">
        <v>8</v>
      </c>
      <c r="EF9">
        <v>8</v>
      </c>
      <c r="EG9">
        <v>0</v>
      </c>
      <c r="EH9">
        <v>4</v>
      </c>
      <c r="EI9">
        <v>8</v>
      </c>
      <c r="EJ9">
        <v>7</v>
      </c>
      <c r="EK9">
        <v>1</v>
      </c>
      <c r="EL9">
        <v>5</v>
      </c>
      <c r="EM9">
        <v>7</v>
      </c>
      <c r="EN9">
        <v>7</v>
      </c>
      <c r="EO9">
        <v>2</v>
      </c>
      <c r="EP9">
        <v>6</v>
      </c>
      <c r="EQ9">
        <v>5</v>
      </c>
      <c r="ER9">
        <v>1</v>
      </c>
      <c r="ES9">
        <v>8</v>
      </c>
      <c r="ET9">
        <v>2</v>
      </c>
      <c r="EU9">
        <v>4</v>
      </c>
      <c r="EV9">
        <v>5</v>
      </c>
      <c r="EW9">
        <v>3</v>
      </c>
      <c r="EX9">
        <v>5</v>
      </c>
      <c r="EY9">
        <v>4</v>
      </c>
      <c r="EZ9">
        <v>7</v>
      </c>
      <c r="FA9">
        <v>6</v>
      </c>
      <c r="FB9">
        <v>4</v>
      </c>
      <c r="FC9">
        <v>4</v>
      </c>
      <c r="FD9">
        <v>2</v>
      </c>
      <c r="FE9">
        <v>1</v>
      </c>
      <c r="FF9">
        <v>3</v>
      </c>
      <c r="FG9">
        <v>6</v>
      </c>
      <c r="FH9">
        <v>8</v>
      </c>
      <c r="FI9">
        <v>8</v>
      </c>
      <c r="FJ9">
        <v>6</v>
      </c>
      <c r="FK9">
        <v>2</v>
      </c>
      <c r="FL9">
        <v>6</v>
      </c>
      <c r="FM9">
        <v>3</v>
      </c>
      <c r="FN9">
        <v>6</v>
      </c>
      <c r="FO9">
        <v>3</v>
      </c>
      <c r="FP9">
        <v>6</v>
      </c>
      <c r="FQ9">
        <v>2</v>
      </c>
      <c r="FR9">
        <v>4</v>
      </c>
      <c r="FS9">
        <v>3</v>
      </c>
      <c r="FT9">
        <v>4</v>
      </c>
      <c r="FU9">
        <v>4</v>
      </c>
      <c r="FV9">
        <v>1</v>
      </c>
      <c r="FW9">
        <v>1</v>
      </c>
      <c r="FX9">
        <v>8</v>
      </c>
      <c r="FY9">
        <v>4</v>
      </c>
      <c r="FZ9">
        <v>3</v>
      </c>
      <c r="GA9">
        <v>4</v>
      </c>
      <c r="GB9">
        <v>3</v>
      </c>
      <c r="GC9">
        <v>2</v>
      </c>
      <c r="GD9">
        <v>3</v>
      </c>
      <c r="GE9">
        <v>6</v>
      </c>
      <c r="GF9">
        <v>0</v>
      </c>
      <c r="GG9">
        <v>3</v>
      </c>
      <c r="GH9">
        <v>1</v>
      </c>
      <c r="GI9">
        <v>7</v>
      </c>
      <c r="GJ9">
        <v>0</v>
      </c>
      <c r="GK9">
        <v>7</v>
      </c>
      <c r="GL9">
        <v>6</v>
      </c>
      <c r="GM9">
        <v>6</v>
      </c>
      <c r="GN9">
        <v>6</v>
      </c>
      <c r="GO9">
        <v>7</v>
      </c>
      <c r="GP9">
        <v>1</v>
      </c>
      <c r="GQ9">
        <v>7</v>
      </c>
      <c r="GR9">
        <v>2</v>
      </c>
      <c r="GS9">
        <v>8</v>
      </c>
      <c r="GT9">
        <v>6</v>
      </c>
      <c r="GU9">
        <v>8</v>
      </c>
      <c r="GV9">
        <v>1</v>
      </c>
      <c r="GW9">
        <v>6</v>
      </c>
      <c r="GX9">
        <v>6</v>
      </c>
      <c r="GY9">
        <v>4</v>
      </c>
      <c r="GZ9">
        <v>3</v>
      </c>
      <c r="HA9">
        <v>8</v>
      </c>
      <c r="HB9">
        <v>0</v>
      </c>
      <c r="HC9">
        <v>8</v>
      </c>
      <c r="HD9">
        <v>1</v>
      </c>
      <c r="HE9">
        <v>6</v>
      </c>
      <c r="HF9">
        <v>7</v>
      </c>
      <c r="HG9">
        <v>6</v>
      </c>
      <c r="HH9">
        <v>2</v>
      </c>
      <c r="HI9">
        <v>6</v>
      </c>
      <c r="HJ9">
        <v>0</v>
      </c>
      <c r="HK9">
        <v>3</v>
      </c>
      <c r="HL9">
        <v>7</v>
      </c>
      <c r="HM9">
        <v>1</v>
      </c>
      <c r="HN9">
        <v>8</v>
      </c>
      <c r="HO9">
        <v>7</v>
      </c>
      <c r="HP9">
        <v>1</v>
      </c>
      <c r="HQ9">
        <v>6</v>
      </c>
      <c r="HR9">
        <v>4</v>
      </c>
      <c r="HS9">
        <v>6</v>
      </c>
      <c r="HT9">
        <v>8</v>
      </c>
      <c r="HU9">
        <v>2</v>
      </c>
      <c r="HV9">
        <v>7</v>
      </c>
      <c r="HW9">
        <v>6</v>
      </c>
      <c r="HX9">
        <v>6</v>
      </c>
      <c r="HY9">
        <v>7</v>
      </c>
      <c r="HZ9">
        <v>8</v>
      </c>
      <c r="IA9">
        <v>6</v>
      </c>
      <c r="IB9">
        <v>5</v>
      </c>
      <c r="IC9">
        <v>2</v>
      </c>
      <c r="ID9">
        <v>2</v>
      </c>
      <c r="IE9">
        <v>4</v>
      </c>
      <c r="IF9">
        <v>6</v>
      </c>
      <c r="IG9">
        <v>2</v>
      </c>
      <c r="IH9">
        <v>1</v>
      </c>
      <c r="II9">
        <v>1</v>
      </c>
      <c r="IJ9">
        <v>3</v>
      </c>
      <c r="IK9">
        <v>2</v>
      </c>
      <c r="IL9">
        <v>1</v>
      </c>
      <c r="IM9">
        <v>2</v>
      </c>
      <c r="IN9">
        <v>1</v>
      </c>
      <c r="IO9">
        <v>0</v>
      </c>
      <c r="IP9">
        <v>6</v>
      </c>
      <c r="IQ9">
        <v>6</v>
      </c>
      <c r="IR9">
        <v>6</v>
      </c>
      <c r="IS9">
        <v>6</v>
      </c>
      <c r="IT9">
        <v>3</v>
      </c>
      <c r="IU9">
        <v>4</v>
      </c>
      <c r="IV9">
        <v>3</v>
      </c>
      <c r="IW9">
        <v>0</v>
      </c>
      <c r="IX9">
        <v>3</v>
      </c>
      <c r="IY9">
        <v>3</v>
      </c>
      <c r="IZ9">
        <v>0</v>
      </c>
      <c r="JA9">
        <v>2</v>
      </c>
      <c r="JB9">
        <v>2</v>
      </c>
      <c r="JC9">
        <v>8</v>
      </c>
      <c r="JD9">
        <v>0</v>
      </c>
      <c r="JE9">
        <v>6</v>
      </c>
      <c r="JF9">
        <v>2</v>
      </c>
      <c r="JG9">
        <v>3</v>
      </c>
      <c r="JH9">
        <v>4</v>
      </c>
      <c r="JI9">
        <v>6</v>
      </c>
      <c r="JJ9">
        <v>2</v>
      </c>
      <c r="JK9">
        <v>8</v>
      </c>
      <c r="JL9">
        <v>7</v>
      </c>
      <c r="JM9">
        <v>3</v>
      </c>
      <c r="JN9">
        <v>1</v>
      </c>
      <c r="JO9">
        <v>0</v>
      </c>
      <c r="JP9">
        <v>0</v>
      </c>
      <c r="JQ9">
        <v>4</v>
      </c>
      <c r="JR9">
        <v>2</v>
      </c>
      <c r="JS9">
        <v>3</v>
      </c>
      <c r="JT9">
        <v>2</v>
      </c>
      <c r="JU9">
        <v>4</v>
      </c>
      <c r="JV9">
        <v>4</v>
      </c>
      <c r="JW9">
        <v>1</v>
      </c>
      <c r="JX9">
        <v>2</v>
      </c>
      <c r="JY9">
        <v>4</v>
      </c>
      <c r="JZ9">
        <v>8</v>
      </c>
      <c r="KA9">
        <v>2</v>
      </c>
      <c r="KB9">
        <v>6</v>
      </c>
      <c r="KC9">
        <v>5</v>
      </c>
      <c r="KD9">
        <v>0</v>
      </c>
      <c r="KE9">
        <v>2</v>
      </c>
      <c r="KF9">
        <v>3</v>
      </c>
      <c r="KG9">
        <v>6</v>
      </c>
      <c r="KH9">
        <v>1</v>
      </c>
      <c r="KI9">
        <v>4</v>
      </c>
      <c r="KJ9">
        <v>6</v>
      </c>
      <c r="KK9">
        <v>6</v>
      </c>
      <c r="KL9">
        <v>8</v>
      </c>
      <c r="KM9">
        <v>7</v>
      </c>
      <c r="KN9">
        <v>8</v>
      </c>
      <c r="KO9">
        <v>6</v>
      </c>
      <c r="KP9">
        <v>4</v>
      </c>
      <c r="KQ9">
        <v>3</v>
      </c>
      <c r="KR9">
        <v>1</v>
      </c>
      <c r="KS9">
        <v>5</v>
      </c>
      <c r="KT9">
        <v>0</v>
      </c>
      <c r="KU9">
        <v>8</v>
      </c>
      <c r="KV9">
        <v>3</v>
      </c>
      <c r="KW9">
        <v>0</v>
      </c>
      <c r="KX9">
        <v>0</v>
      </c>
      <c r="KY9">
        <v>0</v>
      </c>
      <c r="KZ9">
        <v>5</v>
      </c>
      <c r="LA9">
        <v>8</v>
      </c>
      <c r="LB9">
        <v>4</v>
      </c>
      <c r="LC9">
        <v>0</v>
      </c>
      <c r="LD9">
        <v>6</v>
      </c>
      <c r="LE9">
        <v>3</v>
      </c>
      <c r="LF9">
        <v>7</v>
      </c>
      <c r="LG9">
        <v>8</v>
      </c>
      <c r="LH9">
        <v>1</v>
      </c>
      <c r="LI9">
        <v>5</v>
      </c>
      <c r="LJ9">
        <v>5</v>
      </c>
      <c r="LK9">
        <v>4</v>
      </c>
      <c r="LL9">
        <v>1</v>
      </c>
      <c r="LM9">
        <v>8</v>
      </c>
      <c r="LN9">
        <v>6</v>
      </c>
      <c r="LO9">
        <v>4</v>
      </c>
      <c r="LP9">
        <v>5</v>
      </c>
      <c r="LQ9">
        <v>4</v>
      </c>
      <c r="LR9">
        <v>1</v>
      </c>
      <c r="LS9">
        <v>0</v>
      </c>
      <c r="LT9">
        <v>8</v>
      </c>
      <c r="LU9">
        <v>0</v>
      </c>
      <c r="LV9">
        <v>2</v>
      </c>
      <c r="LW9">
        <v>6</v>
      </c>
      <c r="LX9">
        <v>6</v>
      </c>
      <c r="LY9">
        <v>8</v>
      </c>
      <c r="LZ9">
        <v>3</v>
      </c>
      <c r="MA9">
        <v>8</v>
      </c>
      <c r="MB9">
        <v>4</v>
      </c>
      <c r="MC9">
        <v>1</v>
      </c>
      <c r="MD9">
        <v>8</v>
      </c>
      <c r="ME9">
        <v>6</v>
      </c>
      <c r="MF9">
        <v>5</v>
      </c>
      <c r="MG9">
        <v>5</v>
      </c>
      <c r="MH9">
        <v>8</v>
      </c>
      <c r="MI9">
        <v>0</v>
      </c>
      <c r="MJ9">
        <v>0</v>
      </c>
      <c r="MK9">
        <v>3</v>
      </c>
      <c r="ML9">
        <v>5</v>
      </c>
      <c r="MM9">
        <v>8</v>
      </c>
      <c r="MN9">
        <v>5</v>
      </c>
      <c r="MO9">
        <v>1</v>
      </c>
      <c r="MP9">
        <v>7</v>
      </c>
      <c r="MQ9">
        <v>6</v>
      </c>
      <c r="MR9">
        <v>0</v>
      </c>
      <c r="MS9">
        <v>2</v>
      </c>
      <c r="MT9">
        <v>4</v>
      </c>
      <c r="MU9">
        <v>5</v>
      </c>
      <c r="MV9">
        <v>2</v>
      </c>
      <c r="MW9">
        <v>8</v>
      </c>
      <c r="MX9">
        <v>7</v>
      </c>
      <c r="MY9">
        <v>3</v>
      </c>
      <c r="MZ9">
        <v>3</v>
      </c>
      <c r="NA9">
        <v>8</v>
      </c>
      <c r="NB9">
        <v>7</v>
      </c>
      <c r="NE9" s="35" t="str">
        <f t="shared" si="8"/>
        <v>N. Khan</v>
      </c>
      <c r="NF9" s="5">
        <f t="shared" si="9"/>
        <v>121</v>
      </c>
      <c r="NG9" s="5">
        <f t="shared" si="9"/>
        <v>119</v>
      </c>
      <c r="NH9" s="5">
        <f t="shared" si="9"/>
        <v>126</v>
      </c>
      <c r="NI9" s="5">
        <f t="shared" si="9"/>
        <v>114</v>
      </c>
      <c r="NJ9" s="5">
        <f t="shared" si="9"/>
        <v>158</v>
      </c>
      <c r="NK9" s="5">
        <f t="shared" si="9"/>
        <v>127</v>
      </c>
      <c r="NL9" s="5">
        <f t="shared" si="9"/>
        <v>136</v>
      </c>
      <c r="NM9" s="5">
        <f t="shared" si="9"/>
        <v>140</v>
      </c>
      <c r="NN9" s="5">
        <f t="shared" si="9"/>
        <v>100</v>
      </c>
      <c r="NO9" s="5">
        <f t="shared" si="9"/>
        <v>117</v>
      </c>
      <c r="NP9" s="5">
        <f t="shared" si="9"/>
        <v>112</v>
      </c>
      <c r="NQ9" s="5">
        <f t="shared" si="9"/>
        <v>146</v>
      </c>
      <c r="NS9" t="str">
        <f t="shared" si="10"/>
        <v>N. Khan</v>
      </c>
      <c r="NT9" s="38">
        <v>70</v>
      </c>
      <c r="NU9" s="37">
        <f t="shared" si="11"/>
        <v>8470</v>
      </c>
      <c r="NV9" s="37">
        <f t="shared" si="7"/>
        <v>8330</v>
      </c>
      <c r="NW9" s="37">
        <f t="shared" si="7"/>
        <v>8820</v>
      </c>
      <c r="NX9" s="37">
        <f t="shared" si="7"/>
        <v>7980</v>
      </c>
      <c r="NY9" s="37">
        <f t="shared" si="7"/>
        <v>11060</v>
      </c>
      <c r="NZ9" s="37">
        <f t="shared" si="7"/>
        <v>8890</v>
      </c>
      <c r="OA9" s="37">
        <f t="shared" si="7"/>
        <v>9520</v>
      </c>
      <c r="OB9" s="37">
        <f t="shared" si="7"/>
        <v>9800</v>
      </c>
      <c r="OC9" s="37">
        <f t="shared" si="7"/>
        <v>7000</v>
      </c>
      <c r="OD9" s="37">
        <f t="shared" si="7"/>
        <v>8190</v>
      </c>
      <c r="OE9" s="37">
        <f t="shared" si="7"/>
        <v>7840</v>
      </c>
      <c r="OF9" s="37">
        <f t="shared" si="7"/>
        <v>10220</v>
      </c>
      <c r="OH9" s="39" t="str">
        <f t="shared" si="12"/>
        <v>Below</v>
      </c>
    </row>
    <row r="10" spans="1:398" x14ac:dyDescent="0.25">
      <c r="A10" t="s">
        <v>26</v>
      </c>
      <c r="B10">
        <v>3</v>
      </c>
      <c r="C10">
        <v>1</v>
      </c>
      <c r="D10">
        <v>7</v>
      </c>
      <c r="E10">
        <v>4</v>
      </c>
      <c r="F10">
        <v>0</v>
      </c>
      <c r="G10">
        <v>3</v>
      </c>
      <c r="H10">
        <v>7</v>
      </c>
      <c r="I10">
        <v>7</v>
      </c>
      <c r="J10">
        <v>7</v>
      </c>
      <c r="K10">
        <v>0</v>
      </c>
      <c r="L10">
        <v>0</v>
      </c>
      <c r="M10">
        <v>4</v>
      </c>
      <c r="N10">
        <v>1</v>
      </c>
      <c r="O10">
        <v>6</v>
      </c>
      <c r="P10">
        <v>6</v>
      </c>
      <c r="Q10">
        <v>5</v>
      </c>
      <c r="R10">
        <v>7</v>
      </c>
      <c r="S10">
        <v>2</v>
      </c>
      <c r="T10">
        <v>1</v>
      </c>
      <c r="U10">
        <v>0</v>
      </c>
      <c r="V10">
        <v>6</v>
      </c>
      <c r="W10">
        <v>5</v>
      </c>
      <c r="X10">
        <v>8</v>
      </c>
      <c r="Y10">
        <v>6</v>
      </c>
      <c r="Z10">
        <v>5</v>
      </c>
      <c r="AA10">
        <v>1</v>
      </c>
      <c r="AB10">
        <v>7</v>
      </c>
      <c r="AC10">
        <v>3</v>
      </c>
      <c r="AD10">
        <v>1</v>
      </c>
      <c r="AE10">
        <v>0</v>
      </c>
      <c r="AF10">
        <v>4</v>
      </c>
      <c r="AG10">
        <v>0</v>
      </c>
      <c r="AH10">
        <v>3</v>
      </c>
      <c r="AI10">
        <v>6</v>
      </c>
      <c r="AJ10">
        <v>6</v>
      </c>
      <c r="AK10">
        <v>6</v>
      </c>
      <c r="AL10">
        <v>5</v>
      </c>
      <c r="AM10">
        <v>5</v>
      </c>
      <c r="AN10">
        <v>8</v>
      </c>
      <c r="AO10">
        <v>7</v>
      </c>
      <c r="AP10">
        <v>1</v>
      </c>
      <c r="AQ10">
        <v>3</v>
      </c>
      <c r="AR10">
        <v>5</v>
      </c>
      <c r="AS10">
        <v>0</v>
      </c>
      <c r="AT10">
        <v>2</v>
      </c>
      <c r="AU10">
        <v>7</v>
      </c>
      <c r="AV10">
        <v>8</v>
      </c>
      <c r="AW10">
        <v>2</v>
      </c>
      <c r="AX10">
        <v>2</v>
      </c>
      <c r="AY10">
        <v>2</v>
      </c>
      <c r="AZ10">
        <v>2</v>
      </c>
      <c r="BA10">
        <v>4</v>
      </c>
      <c r="BB10">
        <v>1</v>
      </c>
      <c r="BC10">
        <v>7</v>
      </c>
      <c r="BD10">
        <v>6</v>
      </c>
      <c r="BE10">
        <v>5</v>
      </c>
      <c r="BF10">
        <v>6</v>
      </c>
      <c r="BG10">
        <v>7</v>
      </c>
      <c r="BH10">
        <v>0</v>
      </c>
      <c r="BI10">
        <v>3</v>
      </c>
      <c r="BJ10">
        <v>1</v>
      </c>
      <c r="BK10">
        <v>5</v>
      </c>
      <c r="BL10">
        <v>4</v>
      </c>
      <c r="BM10">
        <v>5</v>
      </c>
      <c r="BN10">
        <v>2</v>
      </c>
      <c r="BO10">
        <v>8</v>
      </c>
      <c r="BP10">
        <v>8</v>
      </c>
      <c r="BQ10">
        <v>5</v>
      </c>
      <c r="BR10">
        <v>2</v>
      </c>
      <c r="BS10">
        <v>0</v>
      </c>
      <c r="BT10">
        <v>3</v>
      </c>
      <c r="BU10">
        <v>2</v>
      </c>
      <c r="BV10">
        <v>5</v>
      </c>
      <c r="BW10">
        <v>2</v>
      </c>
      <c r="BX10">
        <v>4</v>
      </c>
      <c r="BY10">
        <v>0</v>
      </c>
      <c r="BZ10">
        <v>5</v>
      </c>
      <c r="CA10">
        <v>5</v>
      </c>
      <c r="CB10">
        <v>0</v>
      </c>
      <c r="CC10">
        <v>3</v>
      </c>
      <c r="CD10">
        <v>1</v>
      </c>
      <c r="CE10">
        <v>7</v>
      </c>
      <c r="CF10">
        <v>2</v>
      </c>
      <c r="CG10">
        <v>5</v>
      </c>
      <c r="CH10">
        <v>6</v>
      </c>
      <c r="CI10">
        <v>7</v>
      </c>
      <c r="CJ10">
        <v>8</v>
      </c>
      <c r="CK10">
        <v>3</v>
      </c>
      <c r="CL10">
        <v>2</v>
      </c>
      <c r="CM10">
        <v>2</v>
      </c>
      <c r="CN10">
        <v>1</v>
      </c>
      <c r="CO10">
        <v>5</v>
      </c>
      <c r="CP10">
        <v>5</v>
      </c>
      <c r="CQ10">
        <v>6</v>
      </c>
      <c r="CR10">
        <v>0</v>
      </c>
      <c r="CS10">
        <v>4</v>
      </c>
      <c r="CT10">
        <v>1</v>
      </c>
      <c r="CU10">
        <v>1</v>
      </c>
      <c r="CV10">
        <v>4</v>
      </c>
      <c r="CW10">
        <v>4</v>
      </c>
      <c r="CX10">
        <v>7</v>
      </c>
      <c r="CY10">
        <v>5</v>
      </c>
      <c r="CZ10">
        <v>0</v>
      </c>
      <c r="DA10">
        <v>2</v>
      </c>
      <c r="DB10">
        <v>7</v>
      </c>
      <c r="DC10">
        <v>7</v>
      </c>
      <c r="DD10">
        <v>7</v>
      </c>
      <c r="DE10">
        <v>0</v>
      </c>
      <c r="DF10">
        <v>7</v>
      </c>
      <c r="DG10">
        <v>6</v>
      </c>
      <c r="DH10">
        <v>8</v>
      </c>
      <c r="DI10">
        <v>4</v>
      </c>
      <c r="DJ10">
        <v>6</v>
      </c>
      <c r="DK10">
        <v>6</v>
      </c>
      <c r="DL10">
        <v>1</v>
      </c>
      <c r="DM10">
        <v>8</v>
      </c>
      <c r="DN10">
        <v>8</v>
      </c>
      <c r="DO10">
        <v>1</v>
      </c>
      <c r="DP10">
        <v>0</v>
      </c>
      <c r="DQ10">
        <v>4</v>
      </c>
      <c r="DR10">
        <v>7</v>
      </c>
      <c r="DS10">
        <v>6</v>
      </c>
      <c r="DT10">
        <v>5</v>
      </c>
      <c r="DU10">
        <v>7</v>
      </c>
      <c r="DV10">
        <v>1</v>
      </c>
      <c r="DW10">
        <v>8</v>
      </c>
      <c r="DX10">
        <v>7</v>
      </c>
      <c r="DY10">
        <v>5</v>
      </c>
      <c r="DZ10">
        <v>4</v>
      </c>
      <c r="EA10">
        <v>6</v>
      </c>
      <c r="EB10">
        <v>8</v>
      </c>
      <c r="EC10">
        <v>1</v>
      </c>
      <c r="ED10">
        <v>1</v>
      </c>
      <c r="EE10">
        <v>0</v>
      </c>
      <c r="EF10">
        <v>8</v>
      </c>
      <c r="EG10">
        <v>0</v>
      </c>
      <c r="EH10">
        <v>1</v>
      </c>
      <c r="EI10">
        <v>7</v>
      </c>
      <c r="EJ10">
        <v>0</v>
      </c>
      <c r="EK10">
        <v>3</v>
      </c>
      <c r="EL10">
        <v>3</v>
      </c>
      <c r="EM10">
        <v>7</v>
      </c>
      <c r="EN10">
        <v>8</v>
      </c>
      <c r="EO10">
        <v>5</v>
      </c>
      <c r="EP10">
        <v>5</v>
      </c>
      <c r="EQ10">
        <v>8</v>
      </c>
      <c r="ER10">
        <v>2</v>
      </c>
      <c r="ES10">
        <v>1</v>
      </c>
      <c r="ET10">
        <v>5</v>
      </c>
      <c r="EU10">
        <v>6</v>
      </c>
      <c r="EV10">
        <v>4</v>
      </c>
      <c r="EW10">
        <v>3</v>
      </c>
      <c r="EX10">
        <v>1</v>
      </c>
      <c r="EY10">
        <v>4</v>
      </c>
      <c r="EZ10">
        <v>8</v>
      </c>
      <c r="FA10">
        <v>4</v>
      </c>
      <c r="FB10">
        <v>3</v>
      </c>
      <c r="FC10">
        <v>3</v>
      </c>
      <c r="FD10">
        <v>4</v>
      </c>
      <c r="FE10">
        <v>5</v>
      </c>
      <c r="FF10">
        <v>6</v>
      </c>
      <c r="FG10">
        <v>1</v>
      </c>
      <c r="FH10">
        <v>4</v>
      </c>
      <c r="FI10">
        <v>0</v>
      </c>
      <c r="FJ10">
        <v>4</v>
      </c>
      <c r="FK10">
        <v>5</v>
      </c>
      <c r="FL10">
        <v>6</v>
      </c>
      <c r="FM10">
        <v>2</v>
      </c>
      <c r="FN10">
        <v>6</v>
      </c>
      <c r="FO10">
        <v>6</v>
      </c>
      <c r="FP10">
        <v>7</v>
      </c>
      <c r="FQ10">
        <v>3</v>
      </c>
      <c r="FR10">
        <v>1</v>
      </c>
      <c r="FS10">
        <v>8</v>
      </c>
      <c r="FT10">
        <v>8</v>
      </c>
      <c r="FU10">
        <v>0</v>
      </c>
      <c r="FV10">
        <v>6</v>
      </c>
      <c r="FW10">
        <v>4</v>
      </c>
      <c r="FX10">
        <v>7</v>
      </c>
      <c r="FY10">
        <v>5</v>
      </c>
      <c r="FZ10">
        <v>1</v>
      </c>
      <c r="GA10">
        <v>2</v>
      </c>
      <c r="GB10">
        <v>7</v>
      </c>
      <c r="GC10">
        <v>5</v>
      </c>
      <c r="GD10">
        <v>5</v>
      </c>
      <c r="GE10">
        <v>2</v>
      </c>
      <c r="GF10">
        <v>3</v>
      </c>
      <c r="GG10">
        <v>1</v>
      </c>
      <c r="GH10">
        <v>8</v>
      </c>
      <c r="GI10">
        <v>3</v>
      </c>
      <c r="GJ10">
        <v>8</v>
      </c>
      <c r="GK10">
        <v>5</v>
      </c>
      <c r="GL10">
        <v>6</v>
      </c>
      <c r="GM10">
        <v>4</v>
      </c>
      <c r="GN10">
        <v>8</v>
      </c>
      <c r="GO10">
        <v>3</v>
      </c>
      <c r="GP10">
        <v>7</v>
      </c>
      <c r="GQ10">
        <v>5</v>
      </c>
      <c r="GR10">
        <v>5</v>
      </c>
      <c r="GS10">
        <v>1</v>
      </c>
      <c r="GT10">
        <v>3</v>
      </c>
      <c r="GU10">
        <v>3</v>
      </c>
      <c r="GV10">
        <v>8</v>
      </c>
      <c r="GW10">
        <v>3</v>
      </c>
      <c r="GX10">
        <v>4</v>
      </c>
      <c r="GY10">
        <v>6</v>
      </c>
      <c r="GZ10">
        <v>0</v>
      </c>
      <c r="HA10">
        <v>0</v>
      </c>
      <c r="HB10">
        <v>7</v>
      </c>
      <c r="HC10">
        <v>4</v>
      </c>
      <c r="HD10">
        <v>1</v>
      </c>
      <c r="HE10">
        <v>7</v>
      </c>
      <c r="HF10">
        <v>3</v>
      </c>
      <c r="HG10">
        <v>5</v>
      </c>
      <c r="HH10">
        <v>4</v>
      </c>
      <c r="HI10">
        <v>4</v>
      </c>
      <c r="HJ10">
        <v>8</v>
      </c>
      <c r="HK10">
        <v>8</v>
      </c>
      <c r="HL10">
        <v>8</v>
      </c>
      <c r="HM10">
        <v>0</v>
      </c>
      <c r="HN10">
        <v>5</v>
      </c>
      <c r="HO10">
        <v>2</v>
      </c>
      <c r="HP10">
        <v>3</v>
      </c>
      <c r="HQ10">
        <v>1</v>
      </c>
      <c r="HR10">
        <v>2</v>
      </c>
      <c r="HS10">
        <v>7</v>
      </c>
      <c r="HT10">
        <v>4</v>
      </c>
      <c r="HU10">
        <v>3</v>
      </c>
      <c r="HV10">
        <v>5</v>
      </c>
      <c r="HW10">
        <v>8</v>
      </c>
      <c r="HX10">
        <v>1</v>
      </c>
      <c r="HY10">
        <v>2</v>
      </c>
      <c r="HZ10">
        <v>7</v>
      </c>
      <c r="IA10">
        <v>4</v>
      </c>
      <c r="IB10">
        <v>5</v>
      </c>
      <c r="IC10">
        <v>1</v>
      </c>
      <c r="ID10">
        <v>1</v>
      </c>
      <c r="IE10">
        <v>6</v>
      </c>
      <c r="IF10">
        <v>7</v>
      </c>
      <c r="IG10">
        <v>3</v>
      </c>
      <c r="IH10">
        <v>1</v>
      </c>
      <c r="II10">
        <v>5</v>
      </c>
      <c r="IJ10">
        <v>8</v>
      </c>
      <c r="IK10">
        <v>6</v>
      </c>
      <c r="IL10">
        <v>7</v>
      </c>
      <c r="IM10">
        <v>4</v>
      </c>
      <c r="IN10">
        <v>6</v>
      </c>
      <c r="IO10">
        <v>1</v>
      </c>
      <c r="IP10">
        <v>0</v>
      </c>
      <c r="IQ10">
        <v>6</v>
      </c>
      <c r="IR10">
        <v>6</v>
      </c>
      <c r="IS10">
        <v>6</v>
      </c>
      <c r="IT10">
        <v>1</v>
      </c>
      <c r="IU10">
        <v>1</v>
      </c>
      <c r="IV10">
        <v>6</v>
      </c>
      <c r="IW10">
        <v>1</v>
      </c>
      <c r="IX10">
        <v>3</v>
      </c>
      <c r="IY10">
        <v>4</v>
      </c>
      <c r="IZ10">
        <v>0</v>
      </c>
      <c r="JA10">
        <v>7</v>
      </c>
      <c r="JB10">
        <v>3</v>
      </c>
      <c r="JC10">
        <v>6</v>
      </c>
      <c r="JD10">
        <v>5</v>
      </c>
      <c r="JE10">
        <v>2</v>
      </c>
      <c r="JF10">
        <v>6</v>
      </c>
      <c r="JG10">
        <v>1</v>
      </c>
      <c r="JH10">
        <v>5</v>
      </c>
      <c r="JI10">
        <v>6</v>
      </c>
      <c r="JJ10">
        <v>4</v>
      </c>
      <c r="JK10">
        <v>5</v>
      </c>
      <c r="JL10">
        <v>6</v>
      </c>
      <c r="JM10">
        <v>3</v>
      </c>
      <c r="JN10">
        <v>2</v>
      </c>
      <c r="JO10">
        <v>8</v>
      </c>
      <c r="JP10">
        <v>1</v>
      </c>
      <c r="JQ10">
        <v>1</v>
      </c>
      <c r="JR10">
        <v>5</v>
      </c>
      <c r="JS10">
        <v>6</v>
      </c>
      <c r="JT10">
        <v>7</v>
      </c>
      <c r="JU10">
        <v>0</v>
      </c>
      <c r="JV10">
        <v>5</v>
      </c>
      <c r="JW10">
        <v>5</v>
      </c>
      <c r="JX10">
        <v>7</v>
      </c>
      <c r="JY10">
        <v>7</v>
      </c>
      <c r="JZ10">
        <v>1</v>
      </c>
      <c r="KA10">
        <v>6</v>
      </c>
      <c r="KB10">
        <v>8</v>
      </c>
      <c r="KC10">
        <v>2</v>
      </c>
      <c r="KD10">
        <v>0</v>
      </c>
      <c r="KE10">
        <v>3</v>
      </c>
      <c r="KF10">
        <v>4</v>
      </c>
      <c r="KG10">
        <v>4</v>
      </c>
      <c r="KH10">
        <v>4</v>
      </c>
      <c r="KI10">
        <v>5</v>
      </c>
      <c r="KJ10">
        <v>2</v>
      </c>
      <c r="KK10">
        <v>1</v>
      </c>
      <c r="KL10">
        <v>3</v>
      </c>
      <c r="KM10">
        <v>5</v>
      </c>
      <c r="KN10">
        <v>7</v>
      </c>
      <c r="KO10">
        <v>7</v>
      </c>
      <c r="KP10">
        <v>0</v>
      </c>
      <c r="KQ10">
        <v>0</v>
      </c>
      <c r="KR10">
        <v>4</v>
      </c>
      <c r="KS10">
        <v>7</v>
      </c>
      <c r="KT10">
        <v>4</v>
      </c>
      <c r="KU10">
        <v>6</v>
      </c>
      <c r="KV10">
        <v>7</v>
      </c>
      <c r="KW10">
        <v>6</v>
      </c>
      <c r="KX10">
        <v>5</v>
      </c>
      <c r="KY10">
        <v>5</v>
      </c>
      <c r="KZ10">
        <v>3</v>
      </c>
      <c r="LA10">
        <v>2</v>
      </c>
      <c r="LB10">
        <v>3</v>
      </c>
      <c r="LC10">
        <v>4</v>
      </c>
      <c r="LD10">
        <v>6</v>
      </c>
      <c r="LE10">
        <v>5</v>
      </c>
      <c r="LF10">
        <v>4</v>
      </c>
      <c r="LG10">
        <v>0</v>
      </c>
      <c r="LH10">
        <v>1</v>
      </c>
      <c r="LI10">
        <v>7</v>
      </c>
      <c r="LJ10">
        <v>7</v>
      </c>
      <c r="LK10">
        <v>0</v>
      </c>
      <c r="LL10">
        <v>3</v>
      </c>
      <c r="LM10">
        <v>6</v>
      </c>
      <c r="LN10">
        <v>6</v>
      </c>
      <c r="LO10">
        <v>1</v>
      </c>
      <c r="LP10">
        <v>3</v>
      </c>
      <c r="LQ10">
        <v>0</v>
      </c>
      <c r="LR10">
        <v>8</v>
      </c>
      <c r="LS10">
        <v>1</v>
      </c>
      <c r="LT10">
        <v>7</v>
      </c>
      <c r="LU10">
        <v>2</v>
      </c>
      <c r="LV10">
        <v>5</v>
      </c>
      <c r="LW10">
        <v>3</v>
      </c>
      <c r="LX10">
        <v>1</v>
      </c>
      <c r="LY10">
        <v>1</v>
      </c>
      <c r="LZ10">
        <v>0</v>
      </c>
      <c r="MA10">
        <v>6</v>
      </c>
      <c r="MB10">
        <v>1</v>
      </c>
      <c r="MC10">
        <v>8</v>
      </c>
      <c r="MD10">
        <v>8</v>
      </c>
      <c r="ME10">
        <v>6</v>
      </c>
      <c r="MF10">
        <v>0</v>
      </c>
      <c r="MG10">
        <v>3</v>
      </c>
      <c r="MH10">
        <v>4</v>
      </c>
      <c r="MI10">
        <v>8</v>
      </c>
      <c r="MJ10">
        <v>5</v>
      </c>
      <c r="MK10">
        <v>6</v>
      </c>
      <c r="ML10">
        <v>7</v>
      </c>
      <c r="MM10">
        <v>6</v>
      </c>
      <c r="MN10">
        <v>4</v>
      </c>
      <c r="MO10">
        <v>3</v>
      </c>
      <c r="MP10">
        <v>6</v>
      </c>
      <c r="MQ10">
        <v>7</v>
      </c>
      <c r="MR10">
        <v>6</v>
      </c>
      <c r="MS10">
        <v>3</v>
      </c>
      <c r="MT10">
        <v>1</v>
      </c>
      <c r="MU10">
        <v>8</v>
      </c>
      <c r="MV10">
        <v>7</v>
      </c>
      <c r="MW10">
        <v>4</v>
      </c>
      <c r="MX10">
        <v>8</v>
      </c>
      <c r="MY10">
        <v>5</v>
      </c>
      <c r="MZ10">
        <v>1</v>
      </c>
      <c r="NA10">
        <v>3</v>
      </c>
      <c r="NB10">
        <v>4</v>
      </c>
      <c r="NE10" s="35" t="str">
        <f t="shared" si="8"/>
        <v>G. Michael</v>
      </c>
      <c r="NF10" s="5">
        <f t="shared" si="9"/>
        <v>117</v>
      </c>
      <c r="NG10" s="5">
        <f t="shared" si="9"/>
        <v>116</v>
      </c>
      <c r="NH10" s="5">
        <f t="shared" si="9"/>
        <v>115</v>
      </c>
      <c r="NI10" s="5">
        <f t="shared" si="9"/>
        <v>125</v>
      </c>
      <c r="NJ10" s="5">
        <f t="shared" si="9"/>
        <v>139</v>
      </c>
      <c r="NK10" s="5">
        <f t="shared" si="9"/>
        <v>125</v>
      </c>
      <c r="NL10" s="5">
        <f t="shared" si="9"/>
        <v>134</v>
      </c>
      <c r="NM10" s="5">
        <f t="shared" si="9"/>
        <v>131</v>
      </c>
      <c r="NN10" s="5">
        <f t="shared" si="9"/>
        <v>119</v>
      </c>
      <c r="NO10" s="5">
        <f t="shared" si="9"/>
        <v>125</v>
      </c>
      <c r="NP10" s="5">
        <f t="shared" si="9"/>
        <v>120</v>
      </c>
      <c r="NQ10" s="5">
        <f t="shared" si="9"/>
        <v>140</v>
      </c>
      <c r="NS10" t="str">
        <f t="shared" si="10"/>
        <v>G. Michael</v>
      </c>
      <c r="NT10" s="38">
        <v>75</v>
      </c>
      <c r="NU10" s="37">
        <f t="shared" si="11"/>
        <v>8775</v>
      </c>
      <c r="NV10" s="37">
        <f t="shared" si="7"/>
        <v>8700</v>
      </c>
      <c r="NW10" s="37">
        <f t="shared" si="7"/>
        <v>8625</v>
      </c>
      <c r="NX10" s="37">
        <f t="shared" si="7"/>
        <v>9375</v>
      </c>
      <c r="NY10" s="37">
        <f t="shared" si="7"/>
        <v>10425</v>
      </c>
      <c r="NZ10" s="37">
        <f t="shared" si="7"/>
        <v>9375</v>
      </c>
      <c r="OA10" s="37">
        <f t="shared" si="7"/>
        <v>10050</v>
      </c>
      <c r="OB10" s="37">
        <f t="shared" si="7"/>
        <v>9825</v>
      </c>
      <c r="OC10" s="37">
        <f t="shared" si="7"/>
        <v>8925</v>
      </c>
      <c r="OD10" s="37">
        <f t="shared" si="7"/>
        <v>9375</v>
      </c>
      <c r="OE10" s="37">
        <f t="shared" si="7"/>
        <v>9000</v>
      </c>
      <c r="OF10" s="37">
        <f t="shared" si="7"/>
        <v>10500</v>
      </c>
      <c r="OH10" s="39" t="str">
        <f t="shared" si="12"/>
        <v>Below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9"/>
  <sheetViews>
    <sheetView workbookViewId="0">
      <selection activeCell="F23" sqref="F23"/>
    </sheetView>
  </sheetViews>
  <sheetFormatPr defaultRowHeight="15" x14ac:dyDescent="0.25"/>
  <cols>
    <col min="1" max="1" width="10.7109375" bestFit="1" customWidth="1"/>
    <col min="2" max="2" width="19.7109375" bestFit="1" customWidth="1"/>
    <col min="3" max="3" width="11.7109375" bestFit="1" customWidth="1"/>
    <col min="4" max="4" width="14.140625" bestFit="1" customWidth="1"/>
    <col min="5" max="5" width="8.7109375" bestFit="1" customWidth="1"/>
    <col min="6" max="6" width="38.42578125" customWidth="1"/>
    <col min="7" max="7" width="27.140625" customWidth="1"/>
    <col min="8" max="8" width="10.7109375" bestFit="1" customWidth="1"/>
    <col min="9" max="9" width="14.28515625" bestFit="1" customWidth="1"/>
    <col min="10" max="10" width="14" bestFit="1" customWidth="1"/>
    <col min="11" max="11" width="10.7109375" customWidth="1"/>
    <col min="12" max="12" width="11.85546875" bestFit="1" customWidth="1"/>
    <col min="14" max="14" width="8.140625" bestFit="1" customWidth="1"/>
    <col min="15" max="15" width="13.42578125" bestFit="1" customWidth="1"/>
  </cols>
  <sheetData>
    <row r="1" spans="1:15" x14ac:dyDescent="0.25">
      <c r="A1" t="s">
        <v>28</v>
      </c>
      <c r="B1" t="s">
        <v>29</v>
      </c>
      <c r="C1" s="30" t="s">
        <v>30</v>
      </c>
      <c r="D1" s="30" t="s">
        <v>31</v>
      </c>
      <c r="E1" s="30" t="s">
        <v>32</v>
      </c>
      <c r="F1" s="30" t="s">
        <v>6</v>
      </c>
      <c r="G1" s="30" t="s">
        <v>7</v>
      </c>
      <c r="H1" s="30" t="s">
        <v>13</v>
      </c>
      <c r="I1" t="s">
        <v>8</v>
      </c>
      <c r="J1" t="s">
        <v>12</v>
      </c>
      <c r="K1" t="s">
        <v>9</v>
      </c>
      <c r="L1" t="s">
        <v>27</v>
      </c>
      <c r="M1" t="s">
        <v>57</v>
      </c>
      <c r="N1" t="s">
        <v>58</v>
      </c>
      <c r="O1" t="s">
        <v>59</v>
      </c>
    </row>
    <row r="2" spans="1:15" x14ac:dyDescent="0.25">
      <c r="A2" s="31">
        <v>41276</v>
      </c>
      <c r="B2" t="s">
        <v>33</v>
      </c>
      <c r="C2" s="30">
        <v>11</v>
      </c>
      <c r="D2" s="30" t="s">
        <v>34</v>
      </c>
      <c r="E2" s="30">
        <v>13</v>
      </c>
      <c r="F2" t="str">
        <f>VLOOKUP(C2,Products!$A$2:$H$16,2,FALSE)</f>
        <v>The Discovery of India</v>
      </c>
      <c r="G2" t="str">
        <f>VLOOKUP(C2,Products!$A$2:$H$16,3,FALSE)</f>
        <v>Jawaharlal Nehru</v>
      </c>
      <c r="H2" t="str">
        <f>VLOOKUP(C2,Products!$A$2:$H$16,4,FALSE)</f>
        <v>e-book</v>
      </c>
      <c r="I2">
        <f>VLOOKUP(C2,Products!$A$2:$H$16,5,FALSE)</f>
        <v>2004</v>
      </c>
      <c r="J2" s="29">
        <f>VLOOKUP(C2,Products!$A$2:$H$16,6,FALSE)</f>
        <v>250</v>
      </c>
      <c r="K2" s="32">
        <f>VLOOKUP(C2,Products!$A$2:$H$16,7,FALSE)</f>
        <v>0.3</v>
      </c>
      <c r="L2" s="29">
        <f>VLOOKUP(C2,Products!$A$2:$H$16,8,FALSE)</f>
        <v>325</v>
      </c>
      <c r="M2">
        <f>MONTH(A2)</f>
        <v>1</v>
      </c>
      <c r="N2" s="43">
        <f>L2*E2</f>
        <v>4225</v>
      </c>
      <c r="O2" s="43">
        <f>J2*E2</f>
        <v>3250</v>
      </c>
    </row>
    <row r="3" spans="1:15" x14ac:dyDescent="0.25">
      <c r="A3" s="31">
        <v>41276</v>
      </c>
      <c r="B3" t="s">
        <v>35</v>
      </c>
      <c r="C3" s="30">
        <v>11</v>
      </c>
      <c r="D3" s="30" t="s">
        <v>34</v>
      </c>
      <c r="E3" s="30">
        <v>5</v>
      </c>
      <c r="F3" t="str">
        <f>VLOOKUP(C3,Products!$A$2:$H$16,2,FALSE)</f>
        <v>The Discovery of India</v>
      </c>
      <c r="G3" t="str">
        <f>VLOOKUP(C3,Products!$A$2:$H$16,3,FALSE)</f>
        <v>Jawaharlal Nehru</v>
      </c>
      <c r="H3" t="str">
        <f>VLOOKUP(C3,Products!$A$2:$H$16,4,FALSE)</f>
        <v>e-book</v>
      </c>
      <c r="I3">
        <f>VLOOKUP(C3,Products!$A$2:$H$16,5,FALSE)</f>
        <v>2004</v>
      </c>
      <c r="J3" s="29">
        <f>VLOOKUP(C3,Products!$A$2:$H$16,6,FALSE)</f>
        <v>250</v>
      </c>
      <c r="K3" s="32">
        <f>VLOOKUP(C3,Products!$A$2:$H$16,7,FALSE)</f>
        <v>0.3</v>
      </c>
      <c r="L3" s="29">
        <f>VLOOKUP(C3,Products!$A$2:$H$16,8,FALSE)</f>
        <v>325</v>
      </c>
      <c r="M3" s="41">
        <f t="shared" ref="M3:M66" si="0">MONTH(A3)</f>
        <v>1</v>
      </c>
      <c r="N3" s="43">
        <f t="shared" ref="N3:N66" si="1">L3*E3</f>
        <v>1625</v>
      </c>
      <c r="O3" s="43">
        <f t="shared" ref="O3:O66" si="2">J3*E3</f>
        <v>1250</v>
      </c>
    </row>
    <row r="4" spans="1:15" x14ac:dyDescent="0.25">
      <c r="A4" s="31">
        <v>41278</v>
      </c>
      <c r="B4" t="s">
        <v>35</v>
      </c>
      <c r="C4" s="30">
        <v>8</v>
      </c>
      <c r="D4" s="30" t="s">
        <v>34</v>
      </c>
      <c r="E4" s="30">
        <v>10</v>
      </c>
      <c r="F4" t="str">
        <f>VLOOKUP(C4,Products!$A$2:$H$16,2,FALSE)</f>
        <v>Glimpses of World History</v>
      </c>
      <c r="G4" t="str">
        <f>VLOOKUP(C4,Products!$A$2:$H$16,3,FALSE)</f>
        <v>Jawaharlal Nehru</v>
      </c>
      <c r="H4" t="str">
        <f>VLOOKUP(C4,Products!$A$2:$H$16,4,FALSE)</f>
        <v>Soft Cover</v>
      </c>
      <c r="I4">
        <f>VLOOKUP(C4,Products!$A$2:$H$16,5,FALSE)</f>
        <v>1934</v>
      </c>
      <c r="J4" s="29">
        <f>VLOOKUP(C4,Products!$A$2:$H$16,6,FALSE)</f>
        <v>650</v>
      </c>
      <c r="K4" s="32">
        <f>VLOOKUP(C4,Products!$A$2:$H$16,7,FALSE)</f>
        <v>0.2</v>
      </c>
      <c r="L4" s="29">
        <f>VLOOKUP(C4,Products!$A$2:$H$16,8,FALSE)</f>
        <v>780</v>
      </c>
      <c r="M4" s="41">
        <f t="shared" si="0"/>
        <v>1</v>
      </c>
      <c r="N4" s="43">
        <f t="shared" si="1"/>
        <v>7800</v>
      </c>
      <c r="O4" s="43">
        <f t="shared" si="2"/>
        <v>6500</v>
      </c>
    </row>
    <row r="5" spans="1:15" x14ac:dyDescent="0.25">
      <c r="A5" s="31">
        <v>41278</v>
      </c>
      <c r="B5" t="s">
        <v>36</v>
      </c>
      <c r="C5" s="30">
        <v>10</v>
      </c>
      <c r="D5" s="30" t="s">
        <v>34</v>
      </c>
      <c r="E5" s="30">
        <v>11</v>
      </c>
      <c r="F5" t="str">
        <f>VLOOKUP(C5,Products!$A$2:$H$16,2,FALSE)</f>
        <v>Wings of Fire</v>
      </c>
      <c r="G5" t="str">
        <f>VLOOKUP(C5,Products!$A$2:$H$16,3,FALSE)</f>
        <v>APJ Abdul Kalam,
Arun Tiwari</v>
      </c>
      <c r="H5" t="str">
        <f>VLOOKUP(C5,Products!$A$2:$H$16,4,FALSE)</f>
        <v>Soft Cover</v>
      </c>
      <c r="I5">
        <f>VLOOKUP(C5,Products!$A$2:$H$16,5,FALSE)</f>
        <v>1999</v>
      </c>
      <c r="J5" s="29">
        <f>VLOOKUP(C5,Products!$A$2:$H$16,6,FALSE)</f>
        <v>1200</v>
      </c>
      <c r="K5" s="32">
        <f>VLOOKUP(C5,Products!$A$2:$H$16,7,FALSE)</f>
        <v>0.1</v>
      </c>
      <c r="L5" s="29">
        <f>VLOOKUP(C5,Products!$A$2:$H$16,8,FALSE)</f>
        <v>1320</v>
      </c>
      <c r="M5" s="41">
        <f t="shared" si="0"/>
        <v>1</v>
      </c>
      <c r="N5" s="43">
        <f t="shared" si="1"/>
        <v>14520</v>
      </c>
      <c r="O5" s="43">
        <f t="shared" si="2"/>
        <v>13200</v>
      </c>
    </row>
    <row r="6" spans="1:15" x14ac:dyDescent="0.25">
      <c r="A6" s="31">
        <v>41280</v>
      </c>
      <c r="B6" t="s">
        <v>37</v>
      </c>
      <c r="C6" s="30">
        <v>6</v>
      </c>
      <c r="D6" s="30" t="s">
        <v>38</v>
      </c>
      <c r="E6" s="30">
        <v>18</v>
      </c>
      <c r="F6" t="str">
        <f>VLOOKUP(C6,Products!$A$2:$H$16,2,FALSE)</f>
        <v>The Discovery of India</v>
      </c>
      <c r="G6" t="str">
        <f>VLOOKUP(C6,Products!$A$2:$H$16,3,FALSE)</f>
        <v>Jawaharlal Nehru</v>
      </c>
      <c r="H6" t="str">
        <f>VLOOKUP(C6,Products!$A$2:$H$16,4,FALSE)</f>
        <v>Soft Cover</v>
      </c>
      <c r="I6">
        <f>VLOOKUP(C6,Products!$A$2:$H$16,5,FALSE)</f>
        <v>1946</v>
      </c>
      <c r="J6" s="29">
        <f>VLOOKUP(C6,Products!$A$2:$H$16,6,FALSE)</f>
        <v>499</v>
      </c>
      <c r="K6" s="32">
        <f>VLOOKUP(C6,Products!$A$2:$H$16,7,FALSE)</f>
        <v>0.3</v>
      </c>
      <c r="L6" s="29">
        <f>VLOOKUP(C6,Products!$A$2:$H$16,8,FALSE)</f>
        <v>648.70000000000005</v>
      </c>
      <c r="M6" s="41">
        <f t="shared" si="0"/>
        <v>1</v>
      </c>
      <c r="N6" s="43">
        <f t="shared" si="1"/>
        <v>11676.6</v>
      </c>
      <c r="O6" s="43">
        <f t="shared" si="2"/>
        <v>8982</v>
      </c>
    </row>
    <row r="7" spans="1:15" x14ac:dyDescent="0.25">
      <c r="A7" s="31">
        <v>41280</v>
      </c>
      <c r="B7" t="s">
        <v>35</v>
      </c>
      <c r="C7" s="30">
        <v>15</v>
      </c>
      <c r="D7" s="30" t="s">
        <v>34</v>
      </c>
      <c r="E7" s="30">
        <v>12</v>
      </c>
      <c r="F7" t="str">
        <f>VLOOKUP(C7,Products!$A$2:$H$16,2,FALSE)</f>
        <v>Wings of Fire</v>
      </c>
      <c r="G7" t="str">
        <f>VLOOKUP(C7,Products!$A$2:$H$16,3,FALSE)</f>
        <v>APJ Abdul Kalam,
Arun Tiwari</v>
      </c>
      <c r="H7" t="str">
        <f>VLOOKUP(C7,Products!$A$2:$H$16,4,FALSE)</f>
        <v>e-book</v>
      </c>
      <c r="I7">
        <f>VLOOKUP(C7,Products!$A$2:$H$16,5,FALSE)</f>
        <v>2005</v>
      </c>
      <c r="J7" s="29">
        <f>VLOOKUP(C7,Products!$A$2:$H$16,6,FALSE)</f>
        <v>500</v>
      </c>
      <c r="K7" s="32">
        <f>VLOOKUP(C7,Products!$A$2:$H$16,7,FALSE)</f>
        <v>0.1</v>
      </c>
      <c r="L7" s="29">
        <f>VLOOKUP(C7,Products!$A$2:$H$16,8,FALSE)</f>
        <v>550</v>
      </c>
      <c r="M7" s="41">
        <f t="shared" si="0"/>
        <v>1</v>
      </c>
      <c r="N7" s="43">
        <f t="shared" si="1"/>
        <v>6600</v>
      </c>
      <c r="O7" s="43">
        <f t="shared" si="2"/>
        <v>6000</v>
      </c>
    </row>
    <row r="8" spans="1:15" x14ac:dyDescent="0.25">
      <c r="A8" s="31">
        <v>41282</v>
      </c>
      <c r="B8" t="s">
        <v>35</v>
      </c>
      <c r="C8" s="30">
        <v>13</v>
      </c>
      <c r="D8" s="30" t="s">
        <v>38</v>
      </c>
      <c r="E8" s="30">
        <v>6</v>
      </c>
      <c r="F8" t="str">
        <f>VLOOKUP(C8,Products!$A$2:$H$16,2,FALSE)</f>
        <v>Glimpses of World History</v>
      </c>
      <c r="G8" t="str">
        <f>VLOOKUP(C8,Products!$A$2:$H$16,3,FALSE)</f>
        <v>Jawaharlal Nehru</v>
      </c>
      <c r="H8" t="str">
        <f>VLOOKUP(C8,Products!$A$2:$H$16,4,FALSE)</f>
        <v>e-book</v>
      </c>
      <c r="I8">
        <f>VLOOKUP(C8,Products!$A$2:$H$16,5,FALSE)</f>
        <v>2005</v>
      </c>
      <c r="J8" s="29">
        <f>VLOOKUP(C8,Products!$A$2:$H$16,6,FALSE)</f>
        <v>300</v>
      </c>
      <c r="K8" s="32">
        <f>VLOOKUP(C8,Products!$A$2:$H$16,7,FALSE)</f>
        <v>0.2</v>
      </c>
      <c r="L8" s="29">
        <f>VLOOKUP(C8,Products!$A$2:$H$16,8,FALSE)</f>
        <v>360</v>
      </c>
      <c r="M8" s="41">
        <f t="shared" si="0"/>
        <v>1</v>
      </c>
      <c r="N8" s="43">
        <f t="shared" si="1"/>
        <v>2160</v>
      </c>
      <c r="O8" s="43">
        <f t="shared" si="2"/>
        <v>1800</v>
      </c>
    </row>
    <row r="9" spans="1:15" x14ac:dyDescent="0.25">
      <c r="A9" s="31">
        <v>41283</v>
      </c>
      <c r="B9" t="s">
        <v>39</v>
      </c>
      <c r="C9" s="30">
        <v>4</v>
      </c>
      <c r="D9" s="30" t="s">
        <v>34</v>
      </c>
      <c r="E9" s="30">
        <v>2</v>
      </c>
      <c r="F9" t="str">
        <f>VLOOKUP(C9,Products!$A$2:$H$16,2,FALSE)</f>
        <v>A Guide to Health</v>
      </c>
      <c r="G9" t="str">
        <f>VLOOKUP(C9,Products!$A$2:$H$16,3,FALSE)</f>
        <v>Mahatma Gandhi</v>
      </c>
      <c r="H9" t="str">
        <f>VLOOKUP(C9,Products!$A$2:$H$16,4,FALSE)</f>
        <v>Hard Cover</v>
      </c>
      <c r="I9">
        <f>VLOOKUP(C9,Products!$A$2:$H$16,5,FALSE)</f>
        <v>1921</v>
      </c>
      <c r="J9" s="29">
        <f>VLOOKUP(C9,Products!$A$2:$H$16,6,FALSE)</f>
        <v>250</v>
      </c>
      <c r="K9" s="32">
        <f>VLOOKUP(C9,Products!$A$2:$H$16,7,FALSE)</f>
        <v>0.15</v>
      </c>
      <c r="L9" s="29">
        <f>VLOOKUP(C9,Products!$A$2:$H$16,8,FALSE)</f>
        <v>287.5</v>
      </c>
      <c r="M9" s="41">
        <f t="shared" si="0"/>
        <v>1</v>
      </c>
      <c r="N9" s="43">
        <f t="shared" si="1"/>
        <v>575</v>
      </c>
      <c r="O9" s="43">
        <f t="shared" si="2"/>
        <v>500</v>
      </c>
    </row>
    <row r="10" spans="1:15" x14ac:dyDescent="0.25">
      <c r="A10" s="31">
        <v>41284</v>
      </c>
      <c r="B10" t="s">
        <v>40</v>
      </c>
      <c r="C10" s="30">
        <v>4</v>
      </c>
      <c r="D10" s="30" t="s">
        <v>34</v>
      </c>
      <c r="E10" s="30">
        <v>15</v>
      </c>
      <c r="F10" t="str">
        <f>VLOOKUP(C10,Products!$A$2:$H$16,2,FALSE)</f>
        <v>A Guide to Health</v>
      </c>
      <c r="G10" t="str">
        <f>VLOOKUP(C10,Products!$A$2:$H$16,3,FALSE)</f>
        <v>Mahatma Gandhi</v>
      </c>
      <c r="H10" t="str">
        <f>VLOOKUP(C10,Products!$A$2:$H$16,4,FALSE)</f>
        <v>Hard Cover</v>
      </c>
      <c r="I10">
        <f>VLOOKUP(C10,Products!$A$2:$H$16,5,FALSE)</f>
        <v>1921</v>
      </c>
      <c r="J10" s="29">
        <f>VLOOKUP(C10,Products!$A$2:$H$16,6,FALSE)</f>
        <v>250</v>
      </c>
      <c r="K10" s="32">
        <f>VLOOKUP(C10,Products!$A$2:$H$16,7,FALSE)</f>
        <v>0.15</v>
      </c>
      <c r="L10" s="29">
        <f>VLOOKUP(C10,Products!$A$2:$H$16,8,FALSE)</f>
        <v>287.5</v>
      </c>
      <c r="M10" s="41">
        <f t="shared" si="0"/>
        <v>1</v>
      </c>
      <c r="N10" s="43">
        <f t="shared" si="1"/>
        <v>4312.5</v>
      </c>
      <c r="O10" s="43">
        <f t="shared" si="2"/>
        <v>3750</v>
      </c>
    </row>
    <row r="11" spans="1:15" x14ac:dyDescent="0.25">
      <c r="A11" s="31">
        <v>41284</v>
      </c>
      <c r="B11" t="s">
        <v>36</v>
      </c>
      <c r="C11" s="30">
        <v>8</v>
      </c>
      <c r="D11" s="30" t="s">
        <v>34</v>
      </c>
      <c r="E11" s="30">
        <v>20</v>
      </c>
      <c r="F11" t="str">
        <f>VLOOKUP(C11,Products!$A$2:$H$16,2,FALSE)</f>
        <v>Glimpses of World History</v>
      </c>
      <c r="G11" t="str">
        <f>VLOOKUP(C11,Products!$A$2:$H$16,3,FALSE)</f>
        <v>Jawaharlal Nehru</v>
      </c>
      <c r="H11" t="str">
        <f>VLOOKUP(C11,Products!$A$2:$H$16,4,FALSE)</f>
        <v>Soft Cover</v>
      </c>
      <c r="I11">
        <f>VLOOKUP(C11,Products!$A$2:$H$16,5,FALSE)</f>
        <v>1934</v>
      </c>
      <c r="J11" s="29">
        <f>VLOOKUP(C11,Products!$A$2:$H$16,6,FALSE)</f>
        <v>650</v>
      </c>
      <c r="K11" s="32">
        <f>VLOOKUP(C11,Products!$A$2:$H$16,7,FALSE)</f>
        <v>0.2</v>
      </c>
      <c r="L11" s="29">
        <f>VLOOKUP(C11,Products!$A$2:$H$16,8,FALSE)</f>
        <v>780</v>
      </c>
      <c r="M11" s="41">
        <f t="shared" si="0"/>
        <v>1</v>
      </c>
      <c r="N11" s="43">
        <f t="shared" si="1"/>
        <v>15600</v>
      </c>
      <c r="O11" s="43">
        <f t="shared" si="2"/>
        <v>13000</v>
      </c>
    </row>
    <row r="12" spans="1:15" x14ac:dyDescent="0.25">
      <c r="A12" s="31">
        <v>41285</v>
      </c>
      <c r="B12" t="s">
        <v>41</v>
      </c>
      <c r="C12" s="30">
        <v>5</v>
      </c>
      <c r="D12" s="30" t="s">
        <v>34</v>
      </c>
      <c r="E12" s="30">
        <v>4</v>
      </c>
      <c r="F12" t="str">
        <f>VLOOKUP(C12,Products!$A$2:$H$16,2,FALSE)</f>
        <v>Wings of Fire</v>
      </c>
      <c r="G12" t="str">
        <f>VLOOKUP(C12,Products!$A$2:$H$16,3,FALSE)</f>
        <v>APJ Abdul Kalam,
Arun Tiwari</v>
      </c>
      <c r="H12" t="str">
        <f>VLOOKUP(C12,Products!$A$2:$H$16,4,FALSE)</f>
        <v>Hard Cover</v>
      </c>
      <c r="I12">
        <f>VLOOKUP(C12,Products!$A$2:$H$16,5,FALSE)</f>
        <v>1999</v>
      </c>
      <c r="J12" s="29">
        <f>VLOOKUP(C12,Products!$A$2:$H$16,6,FALSE)</f>
        <v>1275.2488000000001</v>
      </c>
      <c r="K12" s="32">
        <f>VLOOKUP(C12,Products!$A$2:$H$16,7,FALSE)</f>
        <v>0.1</v>
      </c>
      <c r="L12" s="29">
        <f>VLOOKUP(C12,Products!$A$2:$H$16,8,FALSE)</f>
        <v>1402.77368</v>
      </c>
      <c r="M12" s="41">
        <f t="shared" si="0"/>
        <v>1</v>
      </c>
      <c r="N12" s="43">
        <f t="shared" si="1"/>
        <v>5611.0947200000001</v>
      </c>
      <c r="O12" s="43">
        <f t="shared" si="2"/>
        <v>5100.9952000000003</v>
      </c>
    </row>
    <row r="13" spans="1:15" x14ac:dyDescent="0.25">
      <c r="A13" s="31">
        <v>41285</v>
      </c>
      <c r="B13" t="s">
        <v>39</v>
      </c>
      <c r="C13" s="30">
        <v>1</v>
      </c>
      <c r="D13" s="30" t="s">
        <v>38</v>
      </c>
      <c r="E13" s="30">
        <v>10</v>
      </c>
      <c r="F13" t="str">
        <f>VLOOKUP(C13,Products!$A$2:$H$16,2,FALSE)</f>
        <v>The Discovery of India</v>
      </c>
      <c r="G13" t="str">
        <f>VLOOKUP(C13,Products!$A$2:$H$16,3,FALSE)</f>
        <v>Jawaharlal Nehru</v>
      </c>
      <c r="H13" t="str">
        <f>VLOOKUP(C13,Products!$A$2:$H$16,4,FALSE)</f>
        <v>Hard Cover</v>
      </c>
      <c r="I13">
        <f>VLOOKUP(C13,Products!$A$2:$H$16,5,FALSE)</f>
        <v>1946</v>
      </c>
      <c r="J13" s="29">
        <f>VLOOKUP(C13,Products!$A$2:$H$16,6,FALSE)</f>
        <v>599.95000000000005</v>
      </c>
      <c r="K13" s="32">
        <f>VLOOKUP(C13,Products!$A$2:$H$16,7,FALSE)</f>
        <v>0.3</v>
      </c>
      <c r="L13" s="29">
        <f>VLOOKUP(C13,Products!$A$2:$H$16,8,FALSE)</f>
        <v>779.93500000000006</v>
      </c>
      <c r="M13" s="41">
        <f t="shared" si="0"/>
        <v>1</v>
      </c>
      <c r="N13" s="43">
        <f t="shared" si="1"/>
        <v>7799.35</v>
      </c>
      <c r="O13" s="43">
        <f t="shared" si="2"/>
        <v>5999.5</v>
      </c>
    </row>
    <row r="14" spans="1:15" x14ac:dyDescent="0.25">
      <c r="A14" s="31">
        <v>41286</v>
      </c>
      <c r="B14" t="s">
        <v>36</v>
      </c>
      <c r="C14" s="30">
        <v>1</v>
      </c>
      <c r="D14" s="30" t="s">
        <v>34</v>
      </c>
      <c r="E14" s="30">
        <v>18</v>
      </c>
      <c r="F14" t="str">
        <f>VLOOKUP(C14,Products!$A$2:$H$16,2,FALSE)</f>
        <v>The Discovery of India</v>
      </c>
      <c r="G14" t="str">
        <f>VLOOKUP(C14,Products!$A$2:$H$16,3,FALSE)</f>
        <v>Jawaharlal Nehru</v>
      </c>
      <c r="H14" t="str">
        <f>VLOOKUP(C14,Products!$A$2:$H$16,4,FALSE)</f>
        <v>Hard Cover</v>
      </c>
      <c r="I14">
        <f>VLOOKUP(C14,Products!$A$2:$H$16,5,FALSE)</f>
        <v>1946</v>
      </c>
      <c r="J14" s="29">
        <f>VLOOKUP(C14,Products!$A$2:$H$16,6,FALSE)</f>
        <v>599.95000000000005</v>
      </c>
      <c r="K14" s="32">
        <f>VLOOKUP(C14,Products!$A$2:$H$16,7,FALSE)</f>
        <v>0.3</v>
      </c>
      <c r="L14" s="29">
        <f>VLOOKUP(C14,Products!$A$2:$H$16,8,FALSE)</f>
        <v>779.93500000000006</v>
      </c>
      <c r="M14" s="41">
        <f t="shared" si="0"/>
        <v>1</v>
      </c>
      <c r="N14" s="43">
        <f t="shared" si="1"/>
        <v>14038.830000000002</v>
      </c>
      <c r="O14" s="43">
        <f t="shared" si="2"/>
        <v>10799.1</v>
      </c>
    </row>
    <row r="15" spans="1:15" x14ac:dyDescent="0.25">
      <c r="A15" s="31">
        <v>41286</v>
      </c>
      <c r="B15" t="s">
        <v>42</v>
      </c>
      <c r="C15" s="30">
        <v>9</v>
      </c>
      <c r="D15" s="30" t="s">
        <v>34</v>
      </c>
      <c r="E15" s="30">
        <v>19</v>
      </c>
      <c r="F15" t="str">
        <f>VLOOKUP(C15,Products!$A$2:$H$16,2,FALSE)</f>
        <v>A Guide to Health</v>
      </c>
      <c r="G15" t="str">
        <f>VLOOKUP(C15,Products!$A$2:$H$16,3,FALSE)</f>
        <v>Mahatma Gandhi</v>
      </c>
      <c r="H15" t="str">
        <f>VLOOKUP(C15,Products!$A$2:$H$16,4,FALSE)</f>
        <v>Soft Cover</v>
      </c>
      <c r="I15">
        <f>VLOOKUP(C15,Products!$A$2:$H$16,5,FALSE)</f>
        <v>1921</v>
      </c>
      <c r="J15" s="29">
        <f>VLOOKUP(C15,Products!$A$2:$H$16,6,FALSE)</f>
        <v>220</v>
      </c>
      <c r="K15" s="32">
        <f>VLOOKUP(C15,Products!$A$2:$H$16,7,FALSE)</f>
        <v>0.15</v>
      </c>
      <c r="L15" s="29">
        <f>VLOOKUP(C15,Products!$A$2:$H$16,8,FALSE)</f>
        <v>253</v>
      </c>
      <c r="M15" s="41">
        <f t="shared" si="0"/>
        <v>1</v>
      </c>
      <c r="N15" s="43">
        <f t="shared" si="1"/>
        <v>4807</v>
      </c>
      <c r="O15" s="43">
        <f t="shared" si="2"/>
        <v>4180</v>
      </c>
    </row>
    <row r="16" spans="1:15" x14ac:dyDescent="0.25">
      <c r="A16" s="31">
        <v>41287</v>
      </c>
      <c r="B16" t="s">
        <v>33</v>
      </c>
      <c r="C16" s="30">
        <v>8</v>
      </c>
      <c r="D16" s="30" t="s">
        <v>38</v>
      </c>
      <c r="E16" s="30">
        <v>16</v>
      </c>
      <c r="F16" t="str">
        <f>VLOOKUP(C16,Products!$A$2:$H$16,2,FALSE)</f>
        <v>Glimpses of World History</v>
      </c>
      <c r="G16" t="str">
        <f>VLOOKUP(C16,Products!$A$2:$H$16,3,FALSE)</f>
        <v>Jawaharlal Nehru</v>
      </c>
      <c r="H16" t="str">
        <f>VLOOKUP(C16,Products!$A$2:$H$16,4,FALSE)</f>
        <v>Soft Cover</v>
      </c>
      <c r="I16">
        <f>VLOOKUP(C16,Products!$A$2:$H$16,5,FALSE)</f>
        <v>1934</v>
      </c>
      <c r="J16" s="29">
        <f>VLOOKUP(C16,Products!$A$2:$H$16,6,FALSE)</f>
        <v>650</v>
      </c>
      <c r="K16" s="32">
        <f>VLOOKUP(C16,Products!$A$2:$H$16,7,FALSE)</f>
        <v>0.2</v>
      </c>
      <c r="L16" s="29">
        <f>VLOOKUP(C16,Products!$A$2:$H$16,8,FALSE)</f>
        <v>780</v>
      </c>
      <c r="M16" s="41">
        <f t="shared" si="0"/>
        <v>1</v>
      </c>
      <c r="N16" s="43">
        <f t="shared" si="1"/>
        <v>12480</v>
      </c>
      <c r="O16" s="43">
        <f t="shared" si="2"/>
        <v>10400</v>
      </c>
    </row>
    <row r="17" spans="1:15" x14ac:dyDescent="0.25">
      <c r="A17" s="31">
        <v>41287</v>
      </c>
      <c r="B17" t="s">
        <v>35</v>
      </c>
      <c r="C17" s="30">
        <v>9</v>
      </c>
      <c r="D17" s="30" t="s">
        <v>38</v>
      </c>
      <c r="E17" s="30">
        <v>15</v>
      </c>
      <c r="F17" t="str">
        <f>VLOOKUP(C17,Products!$A$2:$H$16,2,FALSE)</f>
        <v>A Guide to Health</v>
      </c>
      <c r="G17" t="str">
        <f>VLOOKUP(C17,Products!$A$2:$H$16,3,FALSE)</f>
        <v>Mahatma Gandhi</v>
      </c>
      <c r="H17" t="str">
        <f>VLOOKUP(C17,Products!$A$2:$H$16,4,FALSE)</f>
        <v>Soft Cover</v>
      </c>
      <c r="I17">
        <f>VLOOKUP(C17,Products!$A$2:$H$16,5,FALSE)</f>
        <v>1921</v>
      </c>
      <c r="J17" s="29">
        <f>VLOOKUP(C17,Products!$A$2:$H$16,6,FALSE)</f>
        <v>220</v>
      </c>
      <c r="K17" s="32">
        <f>VLOOKUP(C17,Products!$A$2:$H$16,7,FALSE)</f>
        <v>0.15</v>
      </c>
      <c r="L17" s="29">
        <f>VLOOKUP(C17,Products!$A$2:$H$16,8,FALSE)</f>
        <v>253</v>
      </c>
      <c r="M17" s="41">
        <f t="shared" si="0"/>
        <v>1</v>
      </c>
      <c r="N17" s="43">
        <f t="shared" si="1"/>
        <v>3795</v>
      </c>
      <c r="O17" s="43">
        <f t="shared" si="2"/>
        <v>3300</v>
      </c>
    </row>
    <row r="18" spans="1:15" x14ac:dyDescent="0.25">
      <c r="A18" s="31">
        <v>41288</v>
      </c>
      <c r="B18" t="s">
        <v>41</v>
      </c>
      <c r="C18" s="30">
        <v>11</v>
      </c>
      <c r="D18" s="30" t="s">
        <v>34</v>
      </c>
      <c r="E18" s="30">
        <v>4</v>
      </c>
      <c r="F18" t="str">
        <f>VLOOKUP(C18,Products!$A$2:$H$16,2,FALSE)</f>
        <v>The Discovery of India</v>
      </c>
      <c r="G18" t="str">
        <f>VLOOKUP(C18,Products!$A$2:$H$16,3,FALSE)</f>
        <v>Jawaharlal Nehru</v>
      </c>
      <c r="H18" t="str">
        <f>VLOOKUP(C18,Products!$A$2:$H$16,4,FALSE)</f>
        <v>e-book</v>
      </c>
      <c r="I18">
        <f>VLOOKUP(C18,Products!$A$2:$H$16,5,FALSE)</f>
        <v>2004</v>
      </c>
      <c r="J18" s="29">
        <f>VLOOKUP(C18,Products!$A$2:$H$16,6,FALSE)</f>
        <v>250</v>
      </c>
      <c r="K18" s="32">
        <f>VLOOKUP(C18,Products!$A$2:$H$16,7,FALSE)</f>
        <v>0.3</v>
      </c>
      <c r="L18" s="29">
        <f>VLOOKUP(C18,Products!$A$2:$H$16,8,FALSE)</f>
        <v>325</v>
      </c>
      <c r="M18" s="41">
        <f t="shared" si="0"/>
        <v>1</v>
      </c>
      <c r="N18" s="43">
        <f t="shared" si="1"/>
        <v>1300</v>
      </c>
      <c r="O18" s="43">
        <f t="shared" si="2"/>
        <v>1000</v>
      </c>
    </row>
    <row r="19" spans="1:15" x14ac:dyDescent="0.25">
      <c r="A19" s="31">
        <v>41288</v>
      </c>
      <c r="B19" t="s">
        <v>41</v>
      </c>
      <c r="C19" s="30">
        <v>9</v>
      </c>
      <c r="D19" s="30" t="s">
        <v>34</v>
      </c>
      <c r="E19" s="30">
        <v>5</v>
      </c>
      <c r="F19" t="str">
        <f>VLOOKUP(C19,Products!$A$2:$H$16,2,FALSE)</f>
        <v>A Guide to Health</v>
      </c>
      <c r="G19" t="str">
        <f>VLOOKUP(C19,Products!$A$2:$H$16,3,FALSE)</f>
        <v>Mahatma Gandhi</v>
      </c>
      <c r="H19" t="str">
        <f>VLOOKUP(C19,Products!$A$2:$H$16,4,FALSE)</f>
        <v>Soft Cover</v>
      </c>
      <c r="I19">
        <f>VLOOKUP(C19,Products!$A$2:$H$16,5,FALSE)</f>
        <v>1921</v>
      </c>
      <c r="J19" s="29">
        <f>VLOOKUP(C19,Products!$A$2:$H$16,6,FALSE)</f>
        <v>220</v>
      </c>
      <c r="K19" s="32">
        <f>VLOOKUP(C19,Products!$A$2:$H$16,7,FALSE)</f>
        <v>0.15</v>
      </c>
      <c r="L19" s="29">
        <f>VLOOKUP(C19,Products!$A$2:$H$16,8,FALSE)</f>
        <v>253</v>
      </c>
      <c r="M19" s="41">
        <f t="shared" si="0"/>
        <v>1</v>
      </c>
      <c r="N19" s="43">
        <f t="shared" si="1"/>
        <v>1265</v>
      </c>
      <c r="O19" s="43">
        <f t="shared" si="2"/>
        <v>1100</v>
      </c>
    </row>
    <row r="20" spans="1:15" x14ac:dyDescent="0.25">
      <c r="A20" s="31">
        <v>41288</v>
      </c>
      <c r="B20" t="s">
        <v>37</v>
      </c>
      <c r="C20" s="30">
        <v>7</v>
      </c>
      <c r="D20" s="30" t="s">
        <v>38</v>
      </c>
      <c r="E20" s="30">
        <v>4</v>
      </c>
      <c r="F20" t="str">
        <f>VLOOKUP(C20,Products!$A$2:$H$16,2,FALSE)</f>
        <v>The Story of my Experiments with Truth</v>
      </c>
      <c r="G20" t="str">
        <f>VLOOKUP(C20,Products!$A$2:$H$16,3,FALSE)</f>
        <v>Mahatma Gandhi</v>
      </c>
      <c r="H20" t="str">
        <f>VLOOKUP(C20,Products!$A$2:$H$16,4,FALSE)</f>
        <v>Soft Cover</v>
      </c>
      <c r="I20">
        <f>VLOOKUP(C20,Products!$A$2:$H$16,5,FALSE)</f>
        <v>1927</v>
      </c>
      <c r="J20" s="29">
        <f>VLOOKUP(C20,Products!$A$2:$H$16,6,FALSE)</f>
        <v>109</v>
      </c>
      <c r="K20" s="32">
        <f>VLOOKUP(C20,Products!$A$2:$H$16,7,FALSE)</f>
        <v>0.3</v>
      </c>
      <c r="L20" s="29">
        <f>VLOOKUP(C20,Products!$A$2:$H$16,8,FALSE)</f>
        <v>141.69999999999999</v>
      </c>
      <c r="M20" s="41">
        <f t="shared" si="0"/>
        <v>1</v>
      </c>
      <c r="N20" s="43">
        <f t="shared" si="1"/>
        <v>566.79999999999995</v>
      </c>
      <c r="O20" s="43">
        <f t="shared" si="2"/>
        <v>436</v>
      </c>
    </row>
    <row r="21" spans="1:15" x14ac:dyDescent="0.25">
      <c r="A21" s="31">
        <v>41288</v>
      </c>
      <c r="B21" t="s">
        <v>37</v>
      </c>
      <c r="C21" s="30">
        <v>9</v>
      </c>
      <c r="D21" s="30" t="s">
        <v>34</v>
      </c>
      <c r="E21" s="30">
        <v>15</v>
      </c>
      <c r="F21" t="str">
        <f>VLOOKUP(C21,Products!$A$2:$H$16,2,FALSE)</f>
        <v>A Guide to Health</v>
      </c>
      <c r="G21" t="str">
        <f>VLOOKUP(C21,Products!$A$2:$H$16,3,FALSE)</f>
        <v>Mahatma Gandhi</v>
      </c>
      <c r="H21" t="str">
        <f>VLOOKUP(C21,Products!$A$2:$H$16,4,FALSE)</f>
        <v>Soft Cover</v>
      </c>
      <c r="I21">
        <f>VLOOKUP(C21,Products!$A$2:$H$16,5,FALSE)</f>
        <v>1921</v>
      </c>
      <c r="J21" s="29">
        <f>VLOOKUP(C21,Products!$A$2:$H$16,6,FALSE)</f>
        <v>220</v>
      </c>
      <c r="K21" s="32">
        <f>VLOOKUP(C21,Products!$A$2:$H$16,7,FALSE)</f>
        <v>0.15</v>
      </c>
      <c r="L21" s="29">
        <f>VLOOKUP(C21,Products!$A$2:$H$16,8,FALSE)</f>
        <v>253</v>
      </c>
      <c r="M21" s="41">
        <f t="shared" si="0"/>
        <v>1</v>
      </c>
      <c r="N21" s="43">
        <f t="shared" si="1"/>
        <v>3795</v>
      </c>
      <c r="O21" s="43">
        <f t="shared" si="2"/>
        <v>3300</v>
      </c>
    </row>
    <row r="22" spans="1:15" x14ac:dyDescent="0.25">
      <c r="A22" s="31">
        <v>41289</v>
      </c>
      <c r="B22" t="s">
        <v>39</v>
      </c>
      <c r="C22" s="30">
        <v>5</v>
      </c>
      <c r="D22" s="30" t="s">
        <v>34</v>
      </c>
      <c r="E22" s="30">
        <v>10</v>
      </c>
      <c r="F22" t="str">
        <f>VLOOKUP(C22,Products!$A$2:$H$16,2,FALSE)</f>
        <v>Wings of Fire</v>
      </c>
      <c r="G22" t="str">
        <f>VLOOKUP(C22,Products!$A$2:$H$16,3,FALSE)</f>
        <v>APJ Abdul Kalam,
Arun Tiwari</v>
      </c>
      <c r="H22" t="str">
        <f>VLOOKUP(C22,Products!$A$2:$H$16,4,FALSE)</f>
        <v>Hard Cover</v>
      </c>
      <c r="I22">
        <f>VLOOKUP(C22,Products!$A$2:$H$16,5,FALSE)</f>
        <v>1999</v>
      </c>
      <c r="J22" s="29">
        <f>VLOOKUP(C22,Products!$A$2:$H$16,6,FALSE)</f>
        <v>1275.2488000000001</v>
      </c>
      <c r="K22" s="32">
        <f>VLOOKUP(C22,Products!$A$2:$H$16,7,FALSE)</f>
        <v>0.1</v>
      </c>
      <c r="L22" s="29">
        <f>VLOOKUP(C22,Products!$A$2:$H$16,8,FALSE)</f>
        <v>1402.77368</v>
      </c>
      <c r="M22" s="41">
        <f t="shared" si="0"/>
        <v>1</v>
      </c>
      <c r="N22" s="43">
        <f t="shared" si="1"/>
        <v>14027.736800000001</v>
      </c>
      <c r="O22" s="43">
        <f t="shared" si="2"/>
        <v>12752.488000000001</v>
      </c>
    </row>
    <row r="23" spans="1:15" x14ac:dyDescent="0.25">
      <c r="A23" s="31">
        <v>41289</v>
      </c>
      <c r="B23" t="s">
        <v>36</v>
      </c>
      <c r="C23" s="30">
        <v>5</v>
      </c>
      <c r="D23" s="30" t="s">
        <v>38</v>
      </c>
      <c r="E23" s="30">
        <v>3</v>
      </c>
      <c r="F23" t="str">
        <f>VLOOKUP(C23,Products!$A$2:$H$16,2,FALSE)</f>
        <v>Wings of Fire</v>
      </c>
      <c r="G23" t="str">
        <f>VLOOKUP(C23,Products!$A$2:$H$16,3,FALSE)</f>
        <v>APJ Abdul Kalam,
Arun Tiwari</v>
      </c>
      <c r="H23" t="str">
        <f>VLOOKUP(C23,Products!$A$2:$H$16,4,FALSE)</f>
        <v>Hard Cover</v>
      </c>
      <c r="I23">
        <f>VLOOKUP(C23,Products!$A$2:$H$16,5,FALSE)</f>
        <v>1999</v>
      </c>
      <c r="J23" s="29">
        <f>VLOOKUP(C23,Products!$A$2:$H$16,6,FALSE)</f>
        <v>1275.2488000000001</v>
      </c>
      <c r="K23" s="32">
        <f>VLOOKUP(C23,Products!$A$2:$H$16,7,FALSE)</f>
        <v>0.1</v>
      </c>
      <c r="L23" s="29">
        <f>VLOOKUP(C23,Products!$A$2:$H$16,8,FALSE)</f>
        <v>1402.77368</v>
      </c>
      <c r="M23" s="41">
        <f t="shared" si="0"/>
        <v>1</v>
      </c>
      <c r="N23" s="43">
        <f t="shared" si="1"/>
        <v>4208.3210399999998</v>
      </c>
      <c r="O23" s="43">
        <f t="shared" si="2"/>
        <v>3825.7464</v>
      </c>
    </row>
    <row r="24" spans="1:15" x14ac:dyDescent="0.25">
      <c r="A24" s="31">
        <v>41290</v>
      </c>
      <c r="B24" t="s">
        <v>40</v>
      </c>
      <c r="C24" s="30">
        <v>12</v>
      </c>
      <c r="D24" s="30" t="s">
        <v>34</v>
      </c>
      <c r="E24" s="30">
        <v>14</v>
      </c>
      <c r="F24" t="str">
        <f>VLOOKUP(C24,Products!$A$2:$H$16,2,FALSE)</f>
        <v>The Story of my Experiments with Truth</v>
      </c>
      <c r="G24" t="str">
        <f>VLOOKUP(C24,Products!$A$2:$H$16,3,FALSE)</f>
        <v>Mahatma Gandhi</v>
      </c>
      <c r="H24" t="str">
        <f>VLOOKUP(C24,Products!$A$2:$H$16,4,FALSE)</f>
        <v>e-book</v>
      </c>
      <c r="I24">
        <f>VLOOKUP(C24,Products!$A$2:$H$16,5,FALSE)</f>
        <v>2004</v>
      </c>
      <c r="J24" s="29">
        <f>VLOOKUP(C24,Products!$A$2:$H$16,6,FALSE)</f>
        <v>50</v>
      </c>
      <c r="K24" s="32">
        <f>VLOOKUP(C24,Products!$A$2:$H$16,7,FALSE)</f>
        <v>0.3</v>
      </c>
      <c r="L24" s="29">
        <f>VLOOKUP(C24,Products!$A$2:$H$16,8,FALSE)</f>
        <v>65</v>
      </c>
      <c r="M24" s="41">
        <f t="shared" si="0"/>
        <v>1</v>
      </c>
      <c r="N24" s="43">
        <f t="shared" si="1"/>
        <v>910</v>
      </c>
      <c r="O24" s="43">
        <f t="shared" si="2"/>
        <v>700</v>
      </c>
    </row>
    <row r="25" spans="1:15" x14ac:dyDescent="0.25">
      <c r="A25" s="31">
        <v>41292</v>
      </c>
      <c r="B25" t="s">
        <v>39</v>
      </c>
      <c r="C25" s="30">
        <v>13</v>
      </c>
      <c r="D25" s="30" t="s">
        <v>34</v>
      </c>
      <c r="E25" s="30">
        <v>12</v>
      </c>
      <c r="F25" t="str">
        <f>VLOOKUP(C25,Products!$A$2:$H$16,2,FALSE)</f>
        <v>Glimpses of World History</v>
      </c>
      <c r="G25" t="str">
        <f>VLOOKUP(C25,Products!$A$2:$H$16,3,FALSE)</f>
        <v>Jawaharlal Nehru</v>
      </c>
      <c r="H25" t="str">
        <f>VLOOKUP(C25,Products!$A$2:$H$16,4,FALSE)</f>
        <v>e-book</v>
      </c>
      <c r="I25">
        <f>VLOOKUP(C25,Products!$A$2:$H$16,5,FALSE)</f>
        <v>2005</v>
      </c>
      <c r="J25" s="29">
        <f>VLOOKUP(C25,Products!$A$2:$H$16,6,FALSE)</f>
        <v>300</v>
      </c>
      <c r="K25" s="32">
        <f>VLOOKUP(C25,Products!$A$2:$H$16,7,FALSE)</f>
        <v>0.2</v>
      </c>
      <c r="L25" s="29">
        <f>VLOOKUP(C25,Products!$A$2:$H$16,8,FALSE)</f>
        <v>360</v>
      </c>
      <c r="M25" s="41">
        <f t="shared" si="0"/>
        <v>1</v>
      </c>
      <c r="N25" s="43">
        <f t="shared" si="1"/>
        <v>4320</v>
      </c>
      <c r="O25" s="43">
        <f t="shared" si="2"/>
        <v>3600</v>
      </c>
    </row>
    <row r="26" spans="1:15" x14ac:dyDescent="0.25">
      <c r="A26" s="31">
        <v>41293</v>
      </c>
      <c r="B26" t="s">
        <v>42</v>
      </c>
      <c r="C26" s="30">
        <v>14</v>
      </c>
      <c r="D26" s="30" t="s">
        <v>34</v>
      </c>
      <c r="E26" s="30">
        <v>16</v>
      </c>
      <c r="F26" t="str">
        <f>VLOOKUP(C26,Products!$A$2:$H$16,2,FALSE)</f>
        <v>A Guide to Health</v>
      </c>
      <c r="G26" t="str">
        <f>VLOOKUP(C26,Products!$A$2:$H$16,3,FALSE)</f>
        <v>Mahatma Gandhi</v>
      </c>
      <c r="H26" t="str">
        <f>VLOOKUP(C26,Products!$A$2:$H$16,4,FALSE)</f>
        <v>e-book</v>
      </c>
      <c r="I26">
        <f>VLOOKUP(C26,Products!$A$2:$H$16,5,FALSE)</f>
        <v>2005</v>
      </c>
      <c r="J26" s="29">
        <f>VLOOKUP(C26,Products!$A$2:$H$16,6,FALSE)</f>
        <v>105</v>
      </c>
      <c r="K26" s="32">
        <f>VLOOKUP(C26,Products!$A$2:$H$16,7,FALSE)</f>
        <v>0.15</v>
      </c>
      <c r="L26" s="29">
        <f>VLOOKUP(C26,Products!$A$2:$H$16,8,FALSE)</f>
        <v>120.75</v>
      </c>
      <c r="M26" s="41">
        <f t="shared" si="0"/>
        <v>1</v>
      </c>
      <c r="N26" s="43">
        <f t="shared" si="1"/>
        <v>1932</v>
      </c>
      <c r="O26" s="43">
        <f t="shared" si="2"/>
        <v>1680</v>
      </c>
    </row>
    <row r="27" spans="1:15" x14ac:dyDescent="0.25">
      <c r="A27" s="31">
        <v>41293</v>
      </c>
      <c r="B27" t="s">
        <v>33</v>
      </c>
      <c r="C27" s="30">
        <v>1</v>
      </c>
      <c r="D27" s="30" t="s">
        <v>34</v>
      </c>
      <c r="E27" s="30">
        <v>5</v>
      </c>
      <c r="F27" t="str">
        <f>VLOOKUP(C27,Products!$A$2:$H$16,2,FALSE)</f>
        <v>The Discovery of India</v>
      </c>
      <c r="G27" t="str">
        <f>VLOOKUP(C27,Products!$A$2:$H$16,3,FALSE)</f>
        <v>Jawaharlal Nehru</v>
      </c>
      <c r="H27" t="str">
        <f>VLOOKUP(C27,Products!$A$2:$H$16,4,FALSE)</f>
        <v>Hard Cover</v>
      </c>
      <c r="I27">
        <f>VLOOKUP(C27,Products!$A$2:$H$16,5,FALSE)</f>
        <v>1946</v>
      </c>
      <c r="J27" s="29">
        <f>VLOOKUP(C27,Products!$A$2:$H$16,6,FALSE)</f>
        <v>599.95000000000005</v>
      </c>
      <c r="K27" s="32">
        <f>VLOOKUP(C27,Products!$A$2:$H$16,7,FALSE)</f>
        <v>0.3</v>
      </c>
      <c r="L27" s="29">
        <f>VLOOKUP(C27,Products!$A$2:$H$16,8,FALSE)</f>
        <v>779.93500000000006</v>
      </c>
      <c r="M27" s="41">
        <f t="shared" si="0"/>
        <v>1</v>
      </c>
      <c r="N27" s="43">
        <f t="shared" si="1"/>
        <v>3899.6750000000002</v>
      </c>
      <c r="O27" s="43">
        <f t="shared" si="2"/>
        <v>2999.75</v>
      </c>
    </row>
    <row r="28" spans="1:15" x14ac:dyDescent="0.25">
      <c r="A28" s="31">
        <v>41294</v>
      </c>
      <c r="B28" t="s">
        <v>39</v>
      </c>
      <c r="C28" s="30">
        <v>2</v>
      </c>
      <c r="D28" s="30" t="s">
        <v>38</v>
      </c>
      <c r="E28" s="30">
        <v>8</v>
      </c>
      <c r="F28" t="str">
        <f>VLOOKUP(C28,Products!$A$2:$H$16,2,FALSE)</f>
        <v>The Story of my Experiments with Truth</v>
      </c>
      <c r="G28" t="str">
        <f>VLOOKUP(C28,Products!$A$2:$H$16,3,FALSE)</f>
        <v>Mahatma Gandhi</v>
      </c>
      <c r="H28" t="str">
        <f>VLOOKUP(C28,Products!$A$2:$H$16,4,FALSE)</f>
        <v>Hard Cover</v>
      </c>
      <c r="I28">
        <f>VLOOKUP(C28,Products!$A$2:$H$16,5,FALSE)</f>
        <v>1927</v>
      </c>
      <c r="J28" s="29">
        <f>VLOOKUP(C28,Products!$A$2:$H$16,6,FALSE)</f>
        <v>159</v>
      </c>
      <c r="K28" s="32">
        <f>VLOOKUP(C28,Products!$A$2:$H$16,7,FALSE)</f>
        <v>0.3</v>
      </c>
      <c r="L28" s="29">
        <f>VLOOKUP(C28,Products!$A$2:$H$16,8,FALSE)</f>
        <v>206.7</v>
      </c>
      <c r="M28" s="41">
        <f t="shared" si="0"/>
        <v>1</v>
      </c>
      <c r="N28" s="43">
        <f t="shared" si="1"/>
        <v>1653.6</v>
      </c>
      <c r="O28" s="43">
        <f t="shared" si="2"/>
        <v>1272</v>
      </c>
    </row>
    <row r="29" spans="1:15" x14ac:dyDescent="0.25">
      <c r="A29" s="31">
        <v>41294</v>
      </c>
      <c r="B29" t="s">
        <v>36</v>
      </c>
      <c r="C29" s="30">
        <v>9</v>
      </c>
      <c r="D29" s="30" t="s">
        <v>38</v>
      </c>
      <c r="E29" s="30">
        <v>19</v>
      </c>
      <c r="F29" t="str">
        <f>VLOOKUP(C29,Products!$A$2:$H$16,2,FALSE)</f>
        <v>A Guide to Health</v>
      </c>
      <c r="G29" t="str">
        <f>VLOOKUP(C29,Products!$A$2:$H$16,3,FALSE)</f>
        <v>Mahatma Gandhi</v>
      </c>
      <c r="H29" t="str">
        <f>VLOOKUP(C29,Products!$A$2:$H$16,4,FALSE)</f>
        <v>Soft Cover</v>
      </c>
      <c r="I29">
        <f>VLOOKUP(C29,Products!$A$2:$H$16,5,FALSE)</f>
        <v>1921</v>
      </c>
      <c r="J29" s="29">
        <f>VLOOKUP(C29,Products!$A$2:$H$16,6,FALSE)</f>
        <v>220</v>
      </c>
      <c r="K29" s="32">
        <f>VLOOKUP(C29,Products!$A$2:$H$16,7,FALSE)</f>
        <v>0.15</v>
      </c>
      <c r="L29" s="29">
        <f>VLOOKUP(C29,Products!$A$2:$H$16,8,FALSE)</f>
        <v>253</v>
      </c>
      <c r="M29" s="41">
        <f t="shared" si="0"/>
        <v>1</v>
      </c>
      <c r="N29" s="43">
        <f t="shared" si="1"/>
        <v>4807</v>
      </c>
      <c r="O29" s="43">
        <f t="shared" si="2"/>
        <v>4180</v>
      </c>
    </row>
    <row r="30" spans="1:15" x14ac:dyDescent="0.25">
      <c r="A30" s="31">
        <v>41295</v>
      </c>
      <c r="B30" t="s">
        <v>35</v>
      </c>
      <c r="C30" s="30">
        <v>11</v>
      </c>
      <c r="D30" s="30" t="s">
        <v>34</v>
      </c>
      <c r="E30" s="30">
        <v>5</v>
      </c>
      <c r="F30" t="str">
        <f>VLOOKUP(C30,Products!$A$2:$H$16,2,FALSE)</f>
        <v>The Discovery of India</v>
      </c>
      <c r="G30" t="str">
        <f>VLOOKUP(C30,Products!$A$2:$H$16,3,FALSE)</f>
        <v>Jawaharlal Nehru</v>
      </c>
      <c r="H30" t="str">
        <f>VLOOKUP(C30,Products!$A$2:$H$16,4,FALSE)</f>
        <v>e-book</v>
      </c>
      <c r="I30">
        <f>VLOOKUP(C30,Products!$A$2:$H$16,5,FALSE)</f>
        <v>2004</v>
      </c>
      <c r="J30" s="29">
        <f>VLOOKUP(C30,Products!$A$2:$H$16,6,FALSE)</f>
        <v>250</v>
      </c>
      <c r="K30" s="32">
        <f>VLOOKUP(C30,Products!$A$2:$H$16,7,FALSE)</f>
        <v>0.3</v>
      </c>
      <c r="L30" s="29">
        <f>VLOOKUP(C30,Products!$A$2:$H$16,8,FALSE)</f>
        <v>325</v>
      </c>
      <c r="M30" s="41">
        <f t="shared" si="0"/>
        <v>1</v>
      </c>
      <c r="N30" s="43">
        <f t="shared" si="1"/>
        <v>1625</v>
      </c>
      <c r="O30" s="43">
        <f t="shared" si="2"/>
        <v>1250</v>
      </c>
    </row>
    <row r="31" spans="1:15" x14ac:dyDescent="0.25">
      <c r="A31" s="31">
        <v>41295</v>
      </c>
      <c r="B31" t="s">
        <v>33</v>
      </c>
      <c r="C31" s="30">
        <v>12</v>
      </c>
      <c r="D31" s="30" t="s">
        <v>38</v>
      </c>
      <c r="E31" s="30">
        <v>11</v>
      </c>
      <c r="F31" t="str">
        <f>VLOOKUP(C31,Products!$A$2:$H$16,2,FALSE)</f>
        <v>The Story of my Experiments with Truth</v>
      </c>
      <c r="G31" t="str">
        <f>VLOOKUP(C31,Products!$A$2:$H$16,3,FALSE)</f>
        <v>Mahatma Gandhi</v>
      </c>
      <c r="H31" t="str">
        <f>VLOOKUP(C31,Products!$A$2:$H$16,4,FALSE)</f>
        <v>e-book</v>
      </c>
      <c r="I31">
        <f>VLOOKUP(C31,Products!$A$2:$H$16,5,FALSE)</f>
        <v>2004</v>
      </c>
      <c r="J31" s="29">
        <f>VLOOKUP(C31,Products!$A$2:$H$16,6,FALSE)</f>
        <v>50</v>
      </c>
      <c r="K31" s="32">
        <f>VLOOKUP(C31,Products!$A$2:$H$16,7,FALSE)</f>
        <v>0.3</v>
      </c>
      <c r="L31" s="29">
        <f>VLOOKUP(C31,Products!$A$2:$H$16,8,FALSE)</f>
        <v>65</v>
      </c>
      <c r="M31" s="41">
        <f t="shared" si="0"/>
        <v>1</v>
      </c>
      <c r="N31" s="43">
        <f t="shared" si="1"/>
        <v>715</v>
      </c>
      <c r="O31" s="43">
        <f t="shared" si="2"/>
        <v>550</v>
      </c>
    </row>
    <row r="32" spans="1:15" x14ac:dyDescent="0.25">
      <c r="A32" s="31">
        <v>41296</v>
      </c>
      <c r="B32" t="s">
        <v>33</v>
      </c>
      <c r="C32" s="30">
        <v>13</v>
      </c>
      <c r="D32" s="30" t="s">
        <v>34</v>
      </c>
      <c r="E32" s="30">
        <v>17</v>
      </c>
      <c r="F32" t="str">
        <f>VLOOKUP(C32,Products!$A$2:$H$16,2,FALSE)</f>
        <v>Glimpses of World History</v>
      </c>
      <c r="G32" t="str">
        <f>VLOOKUP(C32,Products!$A$2:$H$16,3,FALSE)</f>
        <v>Jawaharlal Nehru</v>
      </c>
      <c r="H32" t="str">
        <f>VLOOKUP(C32,Products!$A$2:$H$16,4,FALSE)</f>
        <v>e-book</v>
      </c>
      <c r="I32">
        <f>VLOOKUP(C32,Products!$A$2:$H$16,5,FALSE)</f>
        <v>2005</v>
      </c>
      <c r="J32" s="29">
        <f>VLOOKUP(C32,Products!$A$2:$H$16,6,FALSE)</f>
        <v>300</v>
      </c>
      <c r="K32" s="32">
        <f>VLOOKUP(C32,Products!$A$2:$H$16,7,FALSE)</f>
        <v>0.2</v>
      </c>
      <c r="L32" s="29">
        <f>VLOOKUP(C32,Products!$A$2:$H$16,8,FALSE)</f>
        <v>360</v>
      </c>
      <c r="M32" s="41">
        <f t="shared" si="0"/>
        <v>1</v>
      </c>
      <c r="N32" s="43">
        <f t="shared" si="1"/>
        <v>6120</v>
      </c>
      <c r="O32" s="43">
        <f t="shared" si="2"/>
        <v>5100</v>
      </c>
    </row>
    <row r="33" spans="1:15" x14ac:dyDescent="0.25">
      <c r="A33" s="31">
        <v>41297</v>
      </c>
      <c r="B33" t="s">
        <v>42</v>
      </c>
      <c r="C33" s="30">
        <v>3</v>
      </c>
      <c r="D33" s="30" t="s">
        <v>34</v>
      </c>
      <c r="E33" s="30">
        <v>6</v>
      </c>
      <c r="F33" t="str">
        <f>VLOOKUP(C33,Products!$A$2:$H$16,2,FALSE)</f>
        <v>Glimpses of World History</v>
      </c>
      <c r="G33" t="str">
        <f>VLOOKUP(C33,Products!$A$2:$H$16,3,FALSE)</f>
        <v>Jawaharlal Nehru</v>
      </c>
      <c r="H33" t="str">
        <f>VLOOKUP(C33,Products!$A$2:$H$16,4,FALSE)</f>
        <v>Hard Cover</v>
      </c>
      <c r="I33">
        <f>VLOOKUP(C33,Products!$A$2:$H$16,5,FALSE)</f>
        <v>1934</v>
      </c>
      <c r="J33" s="29">
        <f>VLOOKUP(C33,Products!$A$2:$H$16,6,FALSE)</f>
        <v>750.45899999999995</v>
      </c>
      <c r="K33" s="32">
        <f>VLOOKUP(C33,Products!$A$2:$H$16,7,FALSE)</f>
        <v>0.2</v>
      </c>
      <c r="L33" s="29">
        <f>VLOOKUP(C33,Products!$A$2:$H$16,8,FALSE)</f>
        <v>900.55079999999998</v>
      </c>
      <c r="M33" s="41">
        <f t="shared" si="0"/>
        <v>1</v>
      </c>
      <c r="N33" s="43">
        <f t="shared" si="1"/>
        <v>5403.3047999999999</v>
      </c>
      <c r="O33" s="43">
        <f t="shared" si="2"/>
        <v>4502.7539999999999</v>
      </c>
    </row>
    <row r="34" spans="1:15" x14ac:dyDescent="0.25">
      <c r="A34" s="31">
        <v>41297</v>
      </c>
      <c r="B34" t="s">
        <v>42</v>
      </c>
      <c r="C34" s="30">
        <v>5</v>
      </c>
      <c r="D34" s="30" t="s">
        <v>38</v>
      </c>
      <c r="E34" s="30">
        <v>16</v>
      </c>
      <c r="F34" t="str">
        <f>VLOOKUP(C34,Products!$A$2:$H$16,2,FALSE)</f>
        <v>Wings of Fire</v>
      </c>
      <c r="G34" t="str">
        <f>VLOOKUP(C34,Products!$A$2:$H$16,3,FALSE)</f>
        <v>APJ Abdul Kalam,
Arun Tiwari</v>
      </c>
      <c r="H34" t="str">
        <f>VLOOKUP(C34,Products!$A$2:$H$16,4,FALSE)</f>
        <v>Hard Cover</v>
      </c>
      <c r="I34">
        <f>VLOOKUP(C34,Products!$A$2:$H$16,5,FALSE)</f>
        <v>1999</v>
      </c>
      <c r="J34" s="29">
        <f>VLOOKUP(C34,Products!$A$2:$H$16,6,FALSE)</f>
        <v>1275.2488000000001</v>
      </c>
      <c r="K34" s="32">
        <f>VLOOKUP(C34,Products!$A$2:$H$16,7,FALSE)</f>
        <v>0.1</v>
      </c>
      <c r="L34" s="29">
        <f>VLOOKUP(C34,Products!$A$2:$H$16,8,FALSE)</f>
        <v>1402.77368</v>
      </c>
      <c r="M34" s="41">
        <f t="shared" si="0"/>
        <v>1</v>
      </c>
      <c r="N34" s="43">
        <f t="shared" si="1"/>
        <v>22444.37888</v>
      </c>
      <c r="O34" s="43">
        <f t="shared" si="2"/>
        <v>20403.980800000001</v>
      </c>
    </row>
    <row r="35" spans="1:15" x14ac:dyDescent="0.25">
      <c r="A35" s="31">
        <v>41299</v>
      </c>
      <c r="B35" t="s">
        <v>42</v>
      </c>
      <c r="C35" s="30">
        <v>9</v>
      </c>
      <c r="D35" s="30" t="s">
        <v>34</v>
      </c>
      <c r="E35" s="30">
        <v>19</v>
      </c>
      <c r="F35" t="str">
        <f>VLOOKUP(C35,Products!$A$2:$H$16,2,FALSE)</f>
        <v>A Guide to Health</v>
      </c>
      <c r="G35" t="str">
        <f>VLOOKUP(C35,Products!$A$2:$H$16,3,FALSE)</f>
        <v>Mahatma Gandhi</v>
      </c>
      <c r="H35" t="str">
        <f>VLOOKUP(C35,Products!$A$2:$H$16,4,FALSE)</f>
        <v>Soft Cover</v>
      </c>
      <c r="I35">
        <f>VLOOKUP(C35,Products!$A$2:$H$16,5,FALSE)</f>
        <v>1921</v>
      </c>
      <c r="J35" s="29">
        <f>VLOOKUP(C35,Products!$A$2:$H$16,6,FALSE)</f>
        <v>220</v>
      </c>
      <c r="K35" s="32">
        <f>VLOOKUP(C35,Products!$A$2:$H$16,7,FALSE)</f>
        <v>0.15</v>
      </c>
      <c r="L35" s="29">
        <f>VLOOKUP(C35,Products!$A$2:$H$16,8,FALSE)</f>
        <v>253</v>
      </c>
      <c r="M35" s="41">
        <f t="shared" si="0"/>
        <v>1</v>
      </c>
      <c r="N35" s="43">
        <f t="shared" si="1"/>
        <v>4807</v>
      </c>
      <c r="O35" s="43">
        <f t="shared" si="2"/>
        <v>4180</v>
      </c>
    </row>
    <row r="36" spans="1:15" x14ac:dyDescent="0.25">
      <c r="A36" s="31">
        <v>41300</v>
      </c>
      <c r="B36" t="s">
        <v>41</v>
      </c>
      <c r="C36" s="30">
        <v>12</v>
      </c>
      <c r="D36" s="30" t="s">
        <v>38</v>
      </c>
      <c r="E36" s="30">
        <v>17</v>
      </c>
      <c r="F36" t="str">
        <f>VLOOKUP(C36,Products!$A$2:$H$16,2,FALSE)</f>
        <v>The Story of my Experiments with Truth</v>
      </c>
      <c r="G36" t="str">
        <f>VLOOKUP(C36,Products!$A$2:$H$16,3,FALSE)</f>
        <v>Mahatma Gandhi</v>
      </c>
      <c r="H36" t="str">
        <f>VLOOKUP(C36,Products!$A$2:$H$16,4,FALSE)</f>
        <v>e-book</v>
      </c>
      <c r="I36">
        <f>VLOOKUP(C36,Products!$A$2:$H$16,5,FALSE)</f>
        <v>2004</v>
      </c>
      <c r="J36" s="29">
        <f>VLOOKUP(C36,Products!$A$2:$H$16,6,FALSE)</f>
        <v>50</v>
      </c>
      <c r="K36" s="32">
        <f>VLOOKUP(C36,Products!$A$2:$H$16,7,FALSE)</f>
        <v>0.3</v>
      </c>
      <c r="L36" s="29">
        <f>VLOOKUP(C36,Products!$A$2:$H$16,8,FALSE)</f>
        <v>65</v>
      </c>
      <c r="M36" s="41">
        <f t="shared" si="0"/>
        <v>1</v>
      </c>
      <c r="N36" s="43">
        <f t="shared" si="1"/>
        <v>1105</v>
      </c>
      <c r="O36" s="43">
        <f t="shared" si="2"/>
        <v>850</v>
      </c>
    </row>
    <row r="37" spans="1:15" x14ac:dyDescent="0.25">
      <c r="A37" s="31">
        <v>41302</v>
      </c>
      <c r="B37" t="s">
        <v>41</v>
      </c>
      <c r="C37" s="30">
        <v>13</v>
      </c>
      <c r="D37" s="30" t="s">
        <v>34</v>
      </c>
      <c r="E37" s="30">
        <v>12</v>
      </c>
      <c r="F37" t="str">
        <f>VLOOKUP(C37,Products!$A$2:$H$16,2,FALSE)</f>
        <v>Glimpses of World History</v>
      </c>
      <c r="G37" t="str">
        <f>VLOOKUP(C37,Products!$A$2:$H$16,3,FALSE)</f>
        <v>Jawaharlal Nehru</v>
      </c>
      <c r="H37" t="str">
        <f>VLOOKUP(C37,Products!$A$2:$H$16,4,FALSE)</f>
        <v>e-book</v>
      </c>
      <c r="I37">
        <f>VLOOKUP(C37,Products!$A$2:$H$16,5,FALSE)</f>
        <v>2005</v>
      </c>
      <c r="J37" s="29">
        <f>VLOOKUP(C37,Products!$A$2:$H$16,6,FALSE)</f>
        <v>300</v>
      </c>
      <c r="K37" s="32">
        <f>VLOOKUP(C37,Products!$A$2:$H$16,7,FALSE)</f>
        <v>0.2</v>
      </c>
      <c r="L37" s="29">
        <f>VLOOKUP(C37,Products!$A$2:$H$16,8,FALSE)</f>
        <v>360</v>
      </c>
      <c r="M37" s="41">
        <f t="shared" si="0"/>
        <v>1</v>
      </c>
      <c r="N37" s="43">
        <f t="shared" si="1"/>
        <v>4320</v>
      </c>
      <c r="O37" s="43">
        <f t="shared" si="2"/>
        <v>3600</v>
      </c>
    </row>
    <row r="38" spans="1:15" x14ac:dyDescent="0.25">
      <c r="A38" s="31">
        <v>41302</v>
      </c>
      <c r="B38" t="s">
        <v>36</v>
      </c>
      <c r="C38" s="30">
        <v>11</v>
      </c>
      <c r="D38" s="30" t="s">
        <v>38</v>
      </c>
      <c r="E38" s="30">
        <v>17</v>
      </c>
      <c r="F38" t="str">
        <f>VLOOKUP(C38,Products!$A$2:$H$16,2,FALSE)</f>
        <v>The Discovery of India</v>
      </c>
      <c r="G38" t="str">
        <f>VLOOKUP(C38,Products!$A$2:$H$16,3,FALSE)</f>
        <v>Jawaharlal Nehru</v>
      </c>
      <c r="H38" t="str">
        <f>VLOOKUP(C38,Products!$A$2:$H$16,4,FALSE)</f>
        <v>e-book</v>
      </c>
      <c r="I38">
        <f>VLOOKUP(C38,Products!$A$2:$H$16,5,FALSE)</f>
        <v>2004</v>
      </c>
      <c r="J38" s="29">
        <f>VLOOKUP(C38,Products!$A$2:$H$16,6,FALSE)</f>
        <v>250</v>
      </c>
      <c r="K38" s="32">
        <f>VLOOKUP(C38,Products!$A$2:$H$16,7,FALSE)</f>
        <v>0.3</v>
      </c>
      <c r="L38" s="29">
        <f>VLOOKUP(C38,Products!$A$2:$H$16,8,FALSE)</f>
        <v>325</v>
      </c>
      <c r="M38" s="41">
        <f t="shared" si="0"/>
        <v>1</v>
      </c>
      <c r="N38" s="43">
        <f t="shared" si="1"/>
        <v>5525</v>
      </c>
      <c r="O38" s="43">
        <f t="shared" si="2"/>
        <v>4250</v>
      </c>
    </row>
    <row r="39" spans="1:15" x14ac:dyDescent="0.25">
      <c r="A39" s="31">
        <v>41302</v>
      </c>
      <c r="B39" t="s">
        <v>35</v>
      </c>
      <c r="C39" s="30">
        <v>1</v>
      </c>
      <c r="D39" s="30" t="s">
        <v>34</v>
      </c>
      <c r="E39" s="30">
        <v>18</v>
      </c>
      <c r="F39" t="str">
        <f>VLOOKUP(C39,Products!$A$2:$H$16,2,FALSE)</f>
        <v>The Discovery of India</v>
      </c>
      <c r="G39" t="str">
        <f>VLOOKUP(C39,Products!$A$2:$H$16,3,FALSE)</f>
        <v>Jawaharlal Nehru</v>
      </c>
      <c r="H39" t="str">
        <f>VLOOKUP(C39,Products!$A$2:$H$16,4,FALSE)</f>
        <v>Hard Cover</v>
      </c>
      <c r="I39">
        <f>VLOOKUP(C39,Products!$A$2:$H$16,5,FALSE)</f>
        <v>1946</v>
      </c>
      <c r="J39" s="29">
        <f>VLOOKUP(C39,Products!$A$2:$H$16,6,FALSE)</f>
        <v>599.95000000000005</v>
      </c>
      <c r="K39" s="32">
        <f>VLOOKUP(C39,Products!$A$2:$H$16,7,FALSE)</f>
        <v>0.3</v>
      </c>
      <c r="L39" s="29">
        <f>VLOOKUP(C39,Products!$A$2:$H$16,8,FALSE)</f>
        <v>779.93500000000006</v>
      </c>
      <c r="M39" s="41">
        <f t="shared" si="0"/>
        <v>1</v>
      </c>
      <c r="N39" s="43">
        <f t="shared" si="1"/>
        <v>14038.830000000002</v>
      </c>
      <c r="O39" s="43">
        <f t="shared" si="2"/>
        <v>10799.1</v>
      </c>
    </row>
    <row r="40" spans="1:15" x14ac:dyDescent="0.25">
      <c r="A40" s="31">
        <v>41302</v>
      </c>
      <c r="B40" t="s">
        <v>33</v>
      </c>
      <c r="C40" s="30">
        <v>6</v>
      </c>
      <c r="D40" s="30" t="s">
        <v>34</v>
      </c>
      <c r="E40" s="30">
        <v>6</v>
      </c>
      <c r="F40" t="str">
        <f>VLOOKUP(C40,Products!$A$2:$H$16,2,FALSE)</f>
        <v>The Discovery of India</v>
      </c>
      <c r="G40" t="str">
        <f>VLOOKUP(C40,Products!$A$2:$H$16,3,FALSE)</f>
        <v>Jawaharlal Nehru</v>
      </c>
      <c r="H40" t="str">
        <f>VLOOKUP(C40,Products!$A$2:$H$16,4,FALSE)</f>
        <v>Soft Cover</v>
      </c>
      <c r="I40">
        <f>VLOOKUP(C40,Products!$A$2:$H$16,5,FALSE)</f>
        <v>1946</v>
      </c>
      <c r="J40" s="29">
        <f>VLOOKUP(C40,Products!$A$2:$H$16,6,FALSE)</f>
        <v>499</v>
      </c>
      <c r="K40" s="32">
        <f>VLOOKUP(C40,Products!$A$2:$H$16,7,FALSE)</f>
        <v>0.3</v>
      </c>
      <c r="L40" s="29">
        <f>VLOOKUP(C40,Products!$A$2:$H$16,8,FALSE)</f>
        <v>648.70000000000005</v>
      </c>
      <c r="M40" s="41">
        <f t="shared" si="0"/>
        <v>1</v>
      </c>
      <c r="N40" s="43">
        <f t="shared" si="1"/>
        <v>3892.2000000000003</v>
      </c>
      <c r="O40" s="43">
        <f t="shared" si="2"/>
        <v>2994</v>
      </c>
    </row>
    <row r="41" spans="1:15" x14ac:dyDescent="0.25">
      <c r="A41" s="31">
        <v>41302</v>
      </c>
      <c r="B41" t="s">
        <v>41</v>
      </c>
      <c r="C41" s="30">
        <v>6</v>
      </c>
      <c r="D41" s="30" t="s">
        <v>34</v>
      </c>
      <c r="E41" s="30">
        <v>19</v>
      </c>
      <c r="F41" t="str">
        <f>VLOOKUP(C41,Products!$A$2:$H$16,2,FALSE)</f>
        <v>The Discovery of India</v>
      </c>
      <c r="G41" t="str">
        <f>VLOOKUP(C41,Products!$A$2:$H$16,3,FALSE)</f>
        <v>Jawaharlal Nehru</v>
      </c>
      <c r="H41" t="str">
        <f>VLOOKUP(C41,Products!$A$2:$H$16,4,FALSE)</f>
        <v>Soft Cover</v>
      </c>
      <c r="I41">
        <f>VLOOKUP(C41,Products!$A$2:$H$16,5,FALSE)</f>
        <v>1946</v>
      </c>
      <c r="J41" s="29">
        <f>VLOOKUP(C41,Products!$A$2:$H$16,6,FALSE)</f>
        <v>499</v>
      </c>
      <c r="K41" s="32">
        <f>VLOOKUP(C41,Products!$A$2:$H$16,7,FALSE)</f>
        <v>0.3</v>
      </c>
      <c r="L41" s="29">
        <f>VLOOKUP(C41,Products!$A$2:$H$16,8,FALSE)</f>
        <v>648.70000000000005</v>
      </c>
      <c r="M41" s="41">
        <f t="shared" si="0"/>
        <v>1</v>
      </c>
      <c r="N41" s="43">
        <f t="shared" si="1"/>
        <v>12325.300000000001</v>
      </c>
      <c r="O41" s="43">
        <f t="shared" si="2"/>
        <v>9481</v>
      </c>
    </row>
    <row r="42" spans="1:15" x14ac:dyDescent="0.25">
      <c r="A42" s="31">
        <v>41303</v>
      </c>
      <c r="B42" t="s">
        <v>37</v>
      </c>
      <c r="C42" s="30">
        <v>1</v>
      </c>
      <c r="D42" s="30" t="s">
        <v>38</v>
      </c>
      <c r="E42" s="30">
        <v>19</v>
      </c>
      <c r="F42" t="str">
        <f>VLOOKUP(C42,Products!$A$2:$H$16,2,FALSE)</f>
        <v>The Discovery of India</v>
      </c>
      <c r="G42" t="str">
        <f>VLOOKUP(C42,Products!$A$2:$H$16,3,FALSE)</f>
        <v>Jawaharlal Nehru</v>
      </c>
      <c r="H42" t="str">
        <f>VLOOKUP(C42,Products!$A$2:$H$16,4,FALSE)</f>
        <v>Hard Cover</v>
      </c>
      <c r="I42">
        <f>VLOOKUP(C42,Products!$A$2:$H$16,5,FALSE)</f>
        <v>1946</v>
      </c>
      <c r="J42" s="29">
        <f>VLOOKUP(C42,Products!$A$2:$H$16,6,FALSE)</f>
        <v>599.95000000000005</v>
      </c>
      <c r="K42" s="32">
        <f>VLOOKUP(C42,Products!$A$2:$H$16,7,FALSE)</f>
        <v>0.3</v>
      </c>
      <c r="L42" s="29">
        <f>VLOOKUP(C42,Products!$A$2:$H$16,8,FALSE)</f>
        <v>779.93500000000006</v>
      </c>
      <c r="M42" s="41">
        <f t="shared" si="0"/>
        <v>1</v>
      </c>
      <c r="N42" s="43">
        <f t="shared" si="1"/>
        <v>14818.765000000001</v>
      </c>
      <c r="O42" s="43">
        <f t="shared" si="2"/>
        <v>11399.050000000001</v>
      </c>
    </row>
    <row r="43" spans="1:15" x14ac:dyDescent="0.25">
      <c r="A43" s="31">
        <v>41305</v>
      </c>
      <c r="B43" t="s">
        <v>39</v>
      </c>
      <c r="C43" s="30">
        <v>5</v>
      </c>
      <c r="D43" s="30" t="s">
        <v>38</v>
      </c>
      <c r="E43" s="30">
        <v>4</v>
      </c>
      <c r="F43" t="str">
        <f>VLOOKUP(C43,Products!$A$2:$H$16,2,FALSE)</f>
        <v>Wings of Fire</v>
      </c>
      <c r="G43" t="str">
        <f>VLOOKUP(C43,Products!$A$2:$H$16,3,FALSE)</f>
        <v>APJ Abdul Kalam,
Arun Tiwari</v>
      </c>
      <c r="H43" t="str">
        <f>VLOOKUP(C43,Products!$A$2:$H$16,4,FALSE)</f>
        <v>Hard Cover</v>
      </c>
      <c r="I43">
        <f>VLOOKUP(C43,Products!$A$2:$H$16,5,FALSE)</f>
        <v>1999</v>
      </c>
      <c r="J43" s="29">
        <f>VLOOKUP(C43,Products!$A$2:$H$16,6,FALSE)</f>
        <v>1275.2488000000001</v>
      </c>
      <c r="K43" s="32">
        <f>VLOOKUP(C43,Products!$A$2:$H$16,7,FALSE)</f>
        <v>0.1</v>
      </c>
      <c r="L43" s="29">
        <f>VLOOKUP(C43,Products!$A$2:$H$16,8,FALSE)</f>
        <v>1402.77368</v>
      </c>
      <c r="M43" s="41">
        <f t="shared" si="0"/>
        <v>1</v>
      </c>
      <c r="N43" s="43">
        <f t="shared" si="1"/>
        <v>5611.0947200000001</v>
      </c>
      <c r="O43" s="43">
        <f t="shared" si="2"/>
        <v>5100.9952000000003</v>
      </c>
    </row>
    <row r="44" spans="1:15" x14ac:dyDescent="0.25">
      <c r="A44" s="31">
        <v>41305</v>
      </c>
      <c r="B44" t="s">
        <v>39</v>
      </c>
      <c r="C44" s="30">
        <v>12</v>
      </c>
      <c r="D44" s="30" t="s">
        <v>34</v>
      </c>
      <c r="E44" s="30">
        <v>11</v>
      </c>
      <c r="F44" t="str">
        <f>VLOOKUP(C44,Products!$A$2:$H$16,2,FALSE)</f>
        <v>The Story of my Experiments with Truth</v>
      </c>
      <c r="G44" t="str">
        <f>VLOOKUP(C44,Products!$A$2:$H$16,3,FALSE)</f>
        <v>Mahatma Gandhi</v>
      </c>
      <c r="H44" t="str">
        <f>VLOOKUP(C44,Products!$A$2:$H$16,4,FALSE)</f>
        <v>e-book</v>
      </c>
      <c r="I44">
        <f>VLOOKUP(C44,Products!$A$2:$H$16,5,FALSE)</f>
        <v>2004</v>
      </c>
      <c r="J44" s="29">
        <f>VLOOKUP(C44,Products!$A$2:$H$16,6,FALSE)</f>
        <v>50</v>
      </c>
      <c r="K44" s="32">
        <f>VLOOKUP(C44,Products!$A$2:$H$16,7,FALSE)</f>
        <v>0.3</v>
      </c>
      <c r="L44" s="29">
        <f>VLOOKUP(C44,Products!$A$2:$H$16,8,FALSE)</f>
        <v>65</v>
      </c>
      <c r="M44" s="41">
        <f t="shared" si="0"/>
        <v>1</v>
      </c>
      <c r="N44" s="43">
        <f t="shared" si="1"/>
        <v>715</v>
      </c>
      <c r="O44" s="43">
        <f t="shared" si="2"/>
        <v>550</v>
      </c>
    </row>
    <row r="45" spans="1:15" x14ac:dyDescent="0.25">
      <c r="A45" s="31">
        <v>41306</v>
      </c>
      <c r="B45" t="s">
        <v>35</v>
      </c>
      <c r="C45" s="30">
        <v>9</v>
      </c>
      <c r="D45" s="30" t="s">
        <v>38</v>
      </c>
      <c r="E45" s="30">
        <v>15</v>
      </c>
      <c r="F45" t="str">
        <f>VLOOKUP(C45,Products!$A$2:$H$16,2,FALSE)</f>
        <v>A Guide to Health</v>
      </c>
      <c r="G45" t="str">
        <f>VLOOKUP(C45,Products!$A$2:$H$16,3,FALSE)</f>
        <v>Mahatma Gandhi</v>
      </c>
      <c r="H45" t="str">
        <f>VLOOKUP(C45,Products!$A$2:$H$16,4,FALSE)</f>
        <v>Soft Cover</v>
      </c>
      <c r="I45">
        <f>VLOOKUP(C45,Products!$A$2:$H$16,5,FALSE)</f>
        <v>1921</v>
      </c>
      <c r="J45" s="29">
        <f>VLOOKUP(C45,Products!$A$2:$H$16,6,FALSE)</f>
        <v>220</v>
      </c>
      <c r="K45" s="32">
        <f>VLOOKUP(C45,Products!$A$2:$H$16,7,FALSE)</f>
        <v>0.15</v>
      </c>
      <c r="L45" s="29">
        <f>VLOOKUP(C45,Products!$A$2:$H$16,8,FALSE)</f>
        <v>253</v>
      </c>
      <c r="M45" s="41">
        <f t="shared" si="0"/>
        <v>2</v>
      </c>
      <c r="N45" s="43">
        <f t="shared" si="1"/>
        <v>3795</v>
      </c>
      <c r="O45" s="43">
        <f t="shared" si="2"/>
        <v>3300</v>
      </c>
    </row>
    <row r="46" spans="1:15" x14ac:dyDescent="0.25">
      <c r="A46" s="31">
        <v>41307</v>
      </c>
      <c r="B46" t="s">
        <v>37</v>
      </c>
      <c r="C46" s="30">
        <v>9</v>
      </c>
      <c r="D46" s="30" t="s">
        <v>38</v>
      </c>
      <c r="E46" s="30">
        <v>4</v>
      </c>
      <c r="F46" t="str">
        <f>VLOOKUP(C46,Products!$A$2:$H$16,2,FALSE)</f>
        <v>A Guide to Health</v>
      </c>
      <c r="G46" t="str">
        <f>VLOOKUP(C46,Products!$A$2:$H$16,3,FALSE)</f>
        <v>Mahatma Gandhi</v>
      </c>
      <c r="H46" t="str">
        <f>VLOOKUP(C46,Products!$A$2:$H$16,4,FALSE)</f>
        <v>Soft Cover</v>
      </c>
      <c r="I46">
        <f>VLOOKUP(C46,Products!$A$2:$H$16,5,FALSE)</f>
        <v>1921</v>
      </c>
      <c r="J46" s="29">
        <f>VLOOKUP(C46,Products!$A$2:$H$16,6,FALSE)</f>
        <v>220</v>
      </c>
      <c r="K46" s="32">
        <f>VLOOKUP(C46,Products!$A$2:$H$16,7,FALSE)</f>
        <v>0.15</v>
      </c>
      <c r="L46" s="29">
        <f>VLOOKUP(C46,Products!$A$2:$H$16,8,FALSE)</f>
        <v>253</v>
      </c>
      <c r="M46" s="41">
        <f t="shared" si="0"/>
        <v>2</v>
      </c>
      <c r="N46" s="43">
        <f t="shared" si="1"/>
        <v>1012</v>
      </c>
      <c r="O46" s="43">
        <f t="shared" si="2"/>
        <v>880</v>
      </c>
    </row>
    <row r="47" spans="1:15" x14ac:dyDescent="0.25">
      <c r="A47" s="31">
        <v>41307</v>
      </c>
      <c r="B47" t="s">
        <v>41</v>
      </c>
      <c r="C47" s="30">
        <v>3</v>
      </c>
      <c r="D47" s="30" t="s">
        <v>38</v>
      </c>
      <c r="E47" s="30">
        <v>12</v>
      </c>
      <c r="F47" t="str">
        <f>VLOOKUP(C47,Products!$A$2:$H$16,2,FALSE)</f>
        <v>Glimpses of World History</v>
      </c>
      <c r="G47" t="str">
        <f>VLOOKUP(C47,Products!$A$2:$H$16,3,FALSE)</f>
        <v>Jawaharlal Nehru</v>
      </c>
      <c r="H47" t="str">
        <f>VLOOKUP(C47,Products!$A$2:$H$16,4,FALSE)</f>
        <v>Hard Cover</v>
      </c>
      <c r="I47">
        <f>VLOOKUP(C47,Products!$A$2:$H$16,5,FALSE)</f>
        <v>1934</v>
      </c>
      <c r="J47" s="29">
        <f>VLOOKUP(C47,Products!$A$2:$H$16,6,FALSE)</f>
        <v>750.45899999999995</v>
      </c>
      <c r="K47" s="32">
        <f>VLOOKUP(C47,Products!$A$2:$H$16,7,FALSE)</f>
        <v>0.2</v>
      </c>
      <c r="L47" s="29">
        <f>VLOOKUP(C47,Products!$A$2:$H$16,8,FALSE)</f>
        <v>900.55079999999998</v>
      </c>
      <c r="M47" s="41">
        <f t="shared" si="0"/>
        <v>2</v>
      </c>
      <c r="N47" s="43">
        <f t="shared" si="1"/>
        <v>10806.6096</v>
      </c>
      <c r="O47" s="43">
        <f t="shared" si="2"/>
        <v>9005.5079999999998</v>
      </c>
    </row>
    <row r="48" spans="1:15" x14ac:dyDescent="0.25">
      <c r="A48" s="31">
        <v>41307</v>
      </c>
      <c r="B48" t="s">
        <v>35</v>
      </c>
      <c r="C48" s="30">
        <v>15</v>
      </c>
      <c r="D48" s="30" t="s">
        <v>38</v>
      </c>
      <c r="E48" s="30">
        <v>4</v>
      </c>
      <c r="F48" t="str">
        <f>VLOOKUP(C48,Products!$A$2:$H$16,2,FALSE)</f>
        <v>Wings of Fire</v>
      </c>
      <c r="G48" t="str">
        <f>VLOOKUP(C48,Products!$A$2:$H$16,3,FALSE)</f>
        <v>APJ Abdul Kalam,
Arun Tiwari</v>
      </c>
      <c r="H48" t="str">
        <f>VLOOKUP(C48,Products!$A$2:$H$16,4,FALSE)</f>
        <v>e-book</v>
      </c>
      <c r="I48">
        <f>VLOOKUP(C48,Products!$A$2:$H$16,5,FALSE)</f>
        <v>2005</v>
      </c>
      <c r="J48" s="29">
        <f>VLOOKUP(C48,Products!$A$2:$H$16,6,FALSE)</f>
        <v>500</v>
      </c>
      <c r="K48" s="32">
        <f>VLOOKUP(C48,Products!$A$2:$H$16,7,FALSE)</f>
        <v>0.1</v>
      </c>
      <c r="L48" s="29">
        <f>VLOOKUP(C48,Products!$A$2:$H$16,8,FALSE)</f>
        <v>550</v>
      </c>
      <c r="M48" s="41">
        <f t="shared" si="0"/>
        <v>2</v>
      </c>
      <c r="N48" s="43">
        <f t="shared" si="1"/>
        <v>2200</v>
      </c>
      <c r="O48" s="43">
        <f t="shared" si="2"/>
        <v>2000</v>
      </c>
    </row>
    <row r="49" spans="1:15" x14ac:dyDescent="0.25">
      <c r="A49" s="31">
        <v>41308</v>
      </c>
      <c r="B49" t="s">
        <v>33</v>
      </c>
      <c r="C49" s="30">
        <v>9</v>
      </c>
      <c r="D49" s="30" t="s">
        <v>38</v>
      </c>
      <c r="E49" s="30">
        <v>1</v>
      </c>
      <c r="F49" t="str">
        <f>VLOOKUP(C49,Products!$A$2:$H$16,2,FALSE)</f>
        <v>A Guide to Health</v>
      </c>
      <c r="G49" t="str">
        <f>VLOOKUP(C49,Products!$A$2:$H$16,3,FALSE)</f>
        <v>Mahatma Gandhi</v>
      </c>
      <c r="H49" t="str">
        <f>VLOOKUP(C49,Products!$A$2:$H$16,4,FALSE)</f>
        <v>Soft Cover</v>
      </c>
      <c r="I49">
        <f>VLOOKUP(C49,Products!$A$2:$H$16,5,FALSE)</f>
        <v>1921</v>
      </c>
      <c r="J49" s="29">
        <f>VLOOKUP(C49,Products!$A$2:$H$16,6,FALSE)</f>
        <v>220</v>
      </c>
      <c r="K49" s="32">
        <f>VLOOKUP(C49,Products!$A$2:$H$16,7,FALSE)</f>
        <v>0.15</v>
      </c>
      <c r="L49" s="29">
        <f>VLOOKUP(C49,Products!$A$2:$H$16,8,FALSE)</f>
        <v>253</v>
      </c>
      <c r="M49" s="41">
        <f t="shared" si="0"/>
        <v>2</v>
      </c>
      <c r="N49" s="43">
        <f t="shared" si="1"/>
        <v>253</v>
      </c>
      <c r="O49" s="43">
        <f t="shared" si="2"/>
        <v>220</v>
      </c>
    </row>
    <row r="50" spans="1:15" x14ac:dyDescent="0.25">
      <c r="A50" s="31">
        <v>41308</v>
      </c>
      <c r="B50" t="s">
        <v>39</v>
      </c>
      <c r="C50" s="30">
        <v>13</v>
      </c>
      <c r="D50" s="30" t="s">
        <v>38</v>
      </c>
      <c r="E50" s="30">
        <v>12</v>
      </c>
      <c r="F50" t="str">
        <f>VLOOKUP(C50,Products!$A$2:$H$16,2,FALSE)</f>
        <v>Glimpses of World History</v>
      </c>
      <c r="G50" t="str">
        <f>VLOOKUP(C50,Products!$A$2:$H$16,3,FALSE)</f>
        <v>Jawaharlal Nehru</v>
      </c>
      <c r="H50" t="str">
        <f>VLOOKUP(C50,Products!$A$2:$H$16,4,FALSE)</f>
        <v>e-book</v>
      </c>
      <c r="I50">
        <f>VLOOKUP(C50,Products!$A$2:$H$16,5,FALSE)</f>
        <v>2005</v>
      </c>
      <c r="J50" s="29">
        <f>VLOOKUP(C50,Products!$A$2:$H$16,6,FALSE)</f>
        <v>300</v>
      </c>
      <c r="K50" s="32">
        <f>VLOOKUP(C50,Products!$A$2:$H$16,7,FALSE)</f>
        <v>0.2</v>
      </c>
      <c r="L50" s="29">
        <f>VLOOKUP(C50,Products!$A$2:$H$16,8,FALSE)</f>
        <v>360</v>
      </c>
      <c r="M50" s="41">
        <f t="shared" si="0"/>
        <v>2</v>
      </c>
      <c r="N50" s="43">
        <f t="shared" si="1"/>
        <v>4320</v>
      </c>
      <c r="O50" s="43">
        <f t="shared" si="2"/>
        <v>3600</v>
      </c>
    </row>
    <row r="51" spans="1:15" x14ac:dyDescent="0.25">
      <c r="A51" s="31">
        <v>41310</v>
      </c>
      <c r="B51" t="s">
        <v>36</v>
      </c>
      <c r="C51" s="30">
        <v>14</v>
      </c>
      <c r="D51" s="30" t="s">
        <v>34</v>
      </c>
      <c r="E51" s="30">
        <v>10</v>
      </c>
      <c r="F51" t="str">
        <f>VLOOKUP(C51,Products!$A$2:$H$16,2,FALSE)</f>
        <v>A Guide to Health</v>
      </c>
      <c r="G51" t="str">
        <f>VLOOKUP(C51,Products!$A$2:$H$16,3,FALSE)</f>
        <v>Mahatma Gandhi</v>
      </c>
      <c r="H51" t="str">
        <f>VLOOKUP(C51,Products!$A$2:$H$16,4,FALSE)</f>
        <v>e-book</v>
      </c>
      <c r="I51">
        <f>VLOOKUP(C51,Products!$A$2:$H$16,5,FALSE)</f>
        <v>2005</v>
      </c>
      <c r="J51" s="29">
        <f>VLOOKUP(C51,Products!$A$2:$H$16,6,FALSE)</f>
        <v>105</v>
      </c>
      <c r="K51" s="32">
        <f>VLOOKUP(C51,Products!$A$2:$H$16,7,FALSE)</f>
        <v>0.15</v>
      </c>
      <c r="L51" s="29">
        <f>VLOOKUP(C51,Products!$A$2:$H$16,8,FALSE)</f>
        <v>120.75</v>
      </c>
      <c r="M51" s="41">
        <f t="shared" si="0"/>
        <v>2</v>
      </c>
      <c r="N51" s="43">
        <f t="shared" si="1"/>
        <v>1207.5</v>
      </c>
      <c r="O51" s="43">
        <f t="shared" si="2"/>
        <v>1050</v>
      </c>
    </row>
    <row r="52" spans="1:15" x14ac:dyDescent="0.25">
      <c r="A52" s="31">
        <v>41312</v>
      </c>
      <c r="B52" t="s">
        <v>41</v>
      </c>
      <c r="C52" s="30">
        <v>15</v>
      </c>
      <c r="D52" s="30" t="s">
        <v>34</v>
      </c>
      <c r="E52" s="30">
        <v>7</v>
      </c>
      <c r="F52" t="str">
        <f>VLOOKUP(C52,Products!$A$2:$H$16,2,FALSE)</f>
        <v>Wings of Fire</v>
      </c>
      <c r="G52" t="str">
        <f>VLOOKUP(C52,Products!$A$2:$H$16,3,FALSE)</f>
        <v>APJ Abdul Kalam,
Arun Tiwari</v>
      </c>
      <c r="H52" t="str">
        <f>VLOOKUP(C52,Products!$A$2:$H$16,4,FALSE)</f>
        <v>e-book</v>
      </c>
      <c r="I52">
        <f>VLOOKUP(C52,Products!$A$2:$H$16,5,FALSE)</f>
        <v>2005</v>
      </c>
      <c r="J52" s="29">
        <f>VLOOKUP(C52,Products!$A$2:$H$16,6,FALSE)</f>
        <v>500</v>
      </c>
      <c r="K52" s="32">
        <f>VLOOKUP(C52,Products!$A$2:$H$16,7,FALSE)</f>
        <v>0.1</v>
      </c>
      <c r="L52" s="29">
        <f>VLOOKUP(C52,Products!$A$2:$H$16,8,FALSE)</f>
        <v>550</v>
      </c>
      <c r="M52" s="41">
        <f t="shared" si="0"/>
        <v>2</v>
      </c>
      <c r="N52" s="43">
        <f t="shared" si="1"/>
        <v>3850</v>
      </c>
      <c r="O52" s="43">
        <f t="shared" si="2"/>
        <v>3500</v>
      </c>
    </row>
    <row r="53" spans="1:15" x14ac:dyDescent="0.25">
      <c r="A53" s="31">
        <v>41312</v>
      </c>
      <c r="B53" t="s">
        <v>35</v>
      </c>
      <c r="C53" s="30">
        <v>10</v>
      </c>
      <c r="D53" s="30" t="s">
        <v>38</v>
      </c>
      <c r="E53" s="30">
        <v>20</v>
      </c>
      <c r="F53" t="str">
        <f>VLOOKUP(C53,Products!$A$2:$H$16,2,FALSE)</f>
        <v>Wings of Fire</v>
      </c>
      <c r="G53" t="str">
        <f>VLOOKUP(C53,Products!$A$2:$H$16,3,FALSE)</f>
        <v>APJ Abdul Kalam,
Arun Tiwari</v>
      </c>
      <c r="H53" t="str">
        <f>VLOOKUP(C53,Products!$A$2:$H$16,4,FALSE)</f>
        <v>Soft Cover</v>
      </c>
      <c r="I53">
        <f>VLOOKUP(C53,Products!$A$2:$H$16,5,FALSE)</f>
        <v>1999</v>
      </c>
      <c r="J53" s="29">
        <f>VLOOKUP(C53,Products!$A$2:$H$16,6,FALSE)</f>
        <v>1200</v>
      </c>
      <c r="K53" s="32">
        <f>VLOOKUP(C53,Products!$A$2:$H$16,7,FALSE)</f>
        <v>0.1</v>
      </c>
      <c r="L53" s="29">
        <f>VLOOKUP(C53,Products!$A$2:$H$16,8,FALSE)</f>
        <v>1320</v>
      </c>
      <c r="M53" s="41">
        <f t="shared" si="0"/>
        <v>2</v>
      </c>
      <c r="N53" s="43">
        <f t="shared" si="1"/>
        <v>26400</v>
      </c>
      <c r="O53" s="43">
        <f t="shared" si="2"/>
        <v>24000</v>
      </c>
    </row>
    <row r="54" spans="1:15" x14ac:dyDescent="0.25">
      <c r="A54" s="31">
        <v>41312</v>
      </c>
      <c r="B54" t="s">
        <v>36</v>
      </c>
      <c r="C54" s="30">
        <v>4</v>
      </c>
      <c r="D54" s="30" t="s">
        <v>38</v>
      </c>
      <c r="E54" s="30">
        <v>12</v>
      </c>
      <c r="F54" t="str">
        <f>VLOOKUP(C54,Products!$A$2:$H$16,2,FALSE)</f>
        <v>A Guide to Health</v>
      </c>
      <c r="G54" t="str">
        <f>VLOOKUP(C54,Products!$A$2:$H$16,3,FALSE)</f>
        <v>Mahatma Gandhi</v>
      </c>
      <c r="H54" t="str">
        <f>VLOOKUP(C54,Products!$A$2:$H$16,4,FALSE)</f>
        <v>Hard Cover</v>
      </c>
      <c r="I54">
        <f>VLOOKUP(C54,Products!$A$2:$H$16,5,FALSE)</f>
        <v>1921</v>
      </c>
      <c r="J54" s="29">
        <f>VLOOKUP(C54,Products!$A$2:$H$16,6,FALSE)</f>
        <v>250</v>
      </c>
      <c r="K54" s="32">
        <f>VLOOKUP(C54,Products!$A$2:$H$16,7,FALSE)</f>
        <v>0.15</v>
      </c>
      <c r="L54" s="29">
        <f>VLOOKUP(C54,Products!$A$2:$H$16,8,FALSE)</f>
        <v>287.5</v>
      </c>
      <c r="M54" s="41">
        <f t="shared" si="0"/>
        <v>2</v>
      </c>
      <c r="N54" s="43">
        <f t="shared" si="1"/>
        <v>3450</v>
      </c>
      <c r="O54" s="43">
        <f t="shared" si="2"/>
        <v>3000</v>
      </c>
    </row>
    <row r="55" spans="1:15" x14ac:dyDescent="0.25">
      <c r="A55" s="31">
        <v>41313</v>
      </c>
      <c r="B55" t="s">
        <v>40</v>
      </c>
      <c r="C55" s="30">
        <v>7</v>
      </c>
      <c r="D55" s="30" t="s">
        <v>34</v>
      </c>
      <c r="E55" s="30">
        <v>20</v>
      </c>
      <c r="F55" t="str">
        <f>VLOOKUP(C55,Products!$A$2:$H$16,2,FALSE)</f>
        <v>The Story of my Experiments with Truth</v>
      </c>
      <c r="G55" t="str">
        <f>VLOOKUP(C55,Products!$A$2:$H$16,3,FALSE)</f>
        <v>Mahatma Gandhi</v>
      </c>
      <c r="H55" t="str">
        <f>VLOOKUP(C55,Products!$A$2:$H$16,4,FALSE)</f>
        <v>Soft Cover</v>
      </c>
      <c r="I55">
        <f>VLOOKUP(C55,Products!$A$2:$H$16,5,FALSE)</f>
        <v>1927</v>
      </c>
      <c r="J55" s="29">
        <f>VLOOKUP(C55,Products!$A$2:$H$16,6,FALSE)</f>
        <v>109</v>
      </c>
      <c r="K55" s="32">
        <f>VLOOKUP(C55,Products!$A$2:$H$16,7,FALSE)</f>
        <v>0.3</v>
      </c>
      <c r="L55" s="29">
        <f>VLOOKUP(C55,Products!$A$2:$H$16,8,FALSE)</f>
        <v>141.69999999999999</v>
      </c>
      <c r="M55" s="41">
        <f t="shared" si="0"/>
        <v>2</v>
      </c>
      <c r="N55" s="43">
        <f t="shared" si="1"/>
        <v>2834</v>
      </c>
      <c r="O55" s="43">
        <f t="shared" si="2"/>
        <v>2180</v>
      </c>
    </row>
    <row r="56" spans="1:15" x14ac:dyDescent="0.25">
      <c r="A56" s="31">
        <v>41314</v>
      </c>
      <c r="B56" t="s">
        <v>39</v>
      </c>
      <c r="C56" s="30">
        <v>5</v>
      </c>
      <c r="D56" s="30" t="s">
        <v>38</v>
      </c>
      <c r="E56" s="30">
        <v>12</v>
      </c>
      <c r="F56" t="str">
        <f>VLOOKUP(C56,Products!$A$2:$H$16,2,FALSE)</f>
        <v>Wings of Fire</v>
      </c>
      <c r="G56" t="str">
        <f>VLOOKUP(C56,Products!$A$2:$H$16,3,FALSE)</f>
        <v>APJ Abdul Kalam,
Arun Tiwari</v>
      </c>
      <c r="H56" t="str">
        <f>VLOOKUP(C56,Products!$A$2:$H$16,4,FALSE)</f>
        <v>Hard Cover</v>
      </c>
      <c r="I56">
        <f>VLOOKUP(C56,Products!$A$2:$H$16,5,FALSE)</f>
        <v>1999</v>
      </c>
      <c r="J56" s="29">
        <f>VLOOKUP(C56,Products!$A$2:$H$16,6,FALSE)</f>
        <v>1275.2488000000001</v>
      </c>
      <c r="K56" s="32">
        <f>VLOOKUP(C56,Products!$A$2:$H$16,7,FALSE)</f>
        <v>0.1</v>
      </c>
      <c r="L56" s="29">
        <f>VLOOKUP(C56,Products!$A$2:$H$16,8,FALSE)</f>
        <v>1402.77368</v>
      </c>
      <c r="M56" s="41">
        <f t="shared" si="0"/>
        <v>2</v>
      </c>
      <c r="N56" s="43">
        <f t="shared" si="1"/>
        <v>16833.284159999999</v>
      </c>
      <c r="O56" s="43">
        <f t="shared" si="2"/>
        <v>15302.9856</v>
      </c>
    </row>
    <row r="57" spans="1:15" x14ac:dyDescent="0.25">
      <c r="A57" s="31">
        <v>41314</v>
      </c>
      <c r="B57" t="s">
        <v>36</v>
      </c>
      <c r="C57" s="30">
        <v>12</v>
      </c>
      <c r="D57" s="30" t="s">
        <v>38</v>
      </c>
      <c r="E57" s="30">
        <v>7</v>
      </c>
      <c r="F57" t="str">
        <f>VLOOKUP(C57,Products!$A$2:$H$16,2,FALSE)</f>
        <v>The Story of my Experiments with Truth</v>
      </c>
      <c r="G57" t="str">
        <f>VLOOKUP(C57,Products!$A$2:$H$16,3,FALSE)</f>
        <v>Mahatma Gandhi</v>
      </c>
      <c r="H57" t="str">
        <f>VLOOKUP(C57,Products!$A$2:$H$16,4,FALSE)</f>
        <v>e-book</v>
      </c>
      <c r="I57">
        <f>VLOOKUP(C57,Products!$A$2:$H$16,5,FALSE)</f>
        <v>2004</v>
      </c>
      <c r="J57" s="29">
        <f>VLOOKUP(C57,Products!$A$2:$H$16,6,FALSE)</f>
        <v>50</v>
      </c>
      <c r="K57" s="32">
        <f>VLOOKUP(C57,Products!$A$2:$H$16,7,FALSE)</f>
        <v>0.3</v>
      </c>
      <c r="L57" s="29">
        <f>VLOOKUP(C57,Products!$A$2:$H$16,8,FALSE)</f>
        <v>65</v>
      </c>
      <c r="M57" s="41">
        <f t="shared" si="0"/>
        <v>2</v>
      </c>
      <c r="N57" s="43">
        <f t="shared" si="1"/>
        <v>455</v>
      </c>
      <c r="O57" s="43">
        <f t="shared" si="2"/>
        <v>350</v>
      </c>
    </row>
    <row r="58" spans="1:15" x14ac:dyDescent="0.25">
      <c r="A58" s="31">
        <v>41315</v>
      </c>
      <c r="B58" t="s">
        <v>39</v>
      </c>
      <c r="C58" s="30">
        <v>4</v>
      </c>
      <c r="D58" s="30" t="s">
        <v>34</v>
      </c>
      <c r="E58" s="30">
        <v>12</v>
      </c>
      <c r="F58" t="str">
        <f>VLOOKUP(C58,Products!$A$2:$H$16,2,FALSE)</f>
        <v>A Guide to Health</v>
      </c>
      <c r="G58" t="str">
        <f>VLOOKUP(C58,Products!$A$2:$H$16,3,FALSE)</f>
        <v>Mahatma Gandhi</v>
      </c>
      <c r="H58" t="str">
        <f>VLOOKUP(C58,Products!$A$2:$H$16,4,FALSE)</f>
        <v>Hard Cover</v>
      </c>
      <c r="I58">
        <f>VLOOKUP(C58,Products!$A$2:$H$16,5,FALSE)</f>
        <v>1921</v>
      </c>
      <c r="J58" s="29">
        <f>VLOOKUP(C58,Products!$A$2:$H$16,6,FALSE)</f>
        <v>250</v>
      </c>
      <c r="K58" s="32">
        <f>VLOOKUP(C58,Products!$A$2:$H$16,7,FALSE)</f>
        <v>0.15</v>
      </c>
      <c r="L58" s="29">
        <f>VLOOKUP(C58,Products!$A$2:$H$16,8,FALSE)</f>
        <v>287.5</v>
      </c>
      <c r="M58" s="41">
        <f t="shared" si="0"/>
        <v>2</v>
      </c>
      <c r="N58" s="43">
        <f t="shared" si="1"/>
        <v>3450</v>
      </c>
      <c r="O58" s="43">
        <f t="shared" si="2"/>
        <v>3000</v>
      </c>
    </row>
    <row r="59" spans="1:15" x14ac:dyDescent="0.25">
      <c r="A59" s="31">
        <v>41316</v>
      </c>
      <c r="B59" t="s">
        <v>40</v>
      </c>
      <c r="C59" s="30">
        <v>11</v>
      </c>
      <c r="D59" s="30" t="s">
        <v>34</v>
      </c>
      <c r="E59" s="30">
        <v>18</v>
      </c>
      <c r="F59" t="str">
        <f>VLOOKUP(C59,Products!$A$2:$H$16,2,FALSE)</f>
        <v>The Discovery of India</v>
      </c>
      <c r="G59" t="str">
        <f>VLOOKUP(C59,Products!$A$2:$H$16,3,FALSE)</f>
        <v>Jawaharlal Nehru</v>
      </c>
      <c r="H59" t="str">
        <f>VLOOKUP(C59,Products!$A$2:$H$16,4,FALSE)</f>
        <v>e-book</v>
      </c>
      <c r="I59">
        <f>VLOOKUP(C59,Products!$A$2:$H$16,5,FALSE)</f>
        <v>2004</v>
      </c>
      <c r="J59" s="29">
        <f>VLOOKUP(C59,Products!$A$2:$H$16,6,FALSE)</f>
        <v>250</v>
      </c>
      <c r="K59" s="32">
        <f>VLOOKUP(C59,Products!$A$2:$H$16,7,FALSE)</f>
        <v>0.3</v>
      </c>
      <c r="L59" s="29">
        <f>VLOOKUP(C59,Products!$A$2:$H$16,8,FALSE)</f>
        <v>325</v>
      </c>
      <c r="M59" s="41">
        <f t="shared" si="0"/>
        <v>2</v>
      </c>
      <c r="N59" s="43">
        <f t="shared" si="1"/>
        <v>5850</v>
      </c>
      <c r="O59" s="43">
        <f t="shared" si="2"/>
        <v>4500</v>
      </c>
    </row>
    <row r="60" spans="1:15" x14ac:dyDescent="0.25">
      <c r="A60" s="31">
        <v>41316</v>
      </c>
      <c r="B60" t="s">
        <v>42</v>
      </c>
      <c r="C60" s="30">
        <v>10</v>
      </c>
      <c r="D60" s="30" t="s">
        <v>38</v>
      </c>
      <c r="E60" s="30">
        <v>8</v>
      </c>
      <c r="F60" t="str">
        <f>VLOOKUP(C60,Products!$A$2:$H$16,2,FALSE)</f>
        <v>Wings of Fire</v>
      </c>
      <c r="G60" t="str">
        <f>VLOOKUP(C60,Products!$A$2:$H$16,3,FALSE)</f>
        <v>APJ Abdul Kalam,
Arun Tiwari</v>
      </c>
      <c r="H60" t="str">
        <f>VLOOKUP(C60,Products!$A$2:$H$16,4,FALSE)</f>
        <v>Soft Cover</v>
      </c>
      <c r="I60">
        <f>VLOOKUP(C60,Products!$A$2:$H$16,5,FALSE)</f>
        <v>1999</v>
      </c>
      <c r="J60" s="29">
        <f>VLOOKUP(C60,Products!$A$2:$H$16,6,FALSE)</f>
        <v>1200</v>
      </c>
      <c r="K60" s="32">
        <f>VLOOKUP(C60,Products!$A$2:$H$16,7,FALSE)</f>
        <v>0.1</v>
      </c>
      <c r="L60" s="29">
        <f>VLOOKUP(C60,Products!$A$2:$H$16,8,FALSE)</f>
        <v>1320</v>
      </c>
      <c r="M60" s="41">
        <f t="shared" si="0"/>
        <v>2</v>
      </c>
      <c r="N60" s="43">
        <f t="shared" si="1"/>
        <v>10560</v>
      </c>
      <c r="O60" s="43">
        <f t="shared" si="2"/>
        <v>9600</v>
      </c>
    </row>
    <row r="61" spans="1:15" x14ac:dyDescent="0.25">
      <c r="A61" s="31">
        <v>41316</v>
      </c>
      <c r="B61" t="s">
        <v>36</v>
      </c>
      <c r="C61" s="30">
        <v>9</v>
      </c>
      <c r="D61" s="30" t="s">
        <v>34</v>
      </c>
      <c r="E61" s="30">
        <v>6</v>
      </c>
      <c r="F61" t="str">
        <f>VLOOKUP(C61,Products!$A$2:$H$16,2,FALSE)</f>
        <v>A Guide to Health</v>
      </c>
      <c r="G61" t="str">
        <f>VLOOKUP(C61,Products!$A$2:$H$16,3,FALSE)</f>
        <v>Mahatma Gandhi</v>
      </c>
      <c r="H61" t="str">
        <f>VLOOKUP(C61,Products!$A$2:$H$16,4,FALSE)</f>
        <v>Soft Cover</v>
      </c>
      <c r="I61">
        <f>VLOOKUP(C61,Products!$A$2:$H$16,5,FALSE)</f>
        <v>1921</v>
      </c>
      <c r="J61" s="29">
        <f>VLOOKUP(C61,Products!$A$2:$H$16,6,FALSE)</f>
        <v>220</v>
      </c>
      <c r="K61" s="32">
        <f>VLOOKUP(C61,Products!$A$2:$H$16,7,FALSE)</f>
        <v>0.15</v>
      </c>
      <c r="L61" s="29">
        <f>VLOOKUP(C61,Products!$A$2:$H$16,8,FALSE)</f>
        <v>253</v>
      </c>
      <c r="M61" s="41">
        <f t="shared" si="0"/>
        <v>2</v>
      </c>
      <c r="N61" s="43">
        <f t="shared" si="1"/>
        <v>1518</v>
      </c>
      <c r="O61" s="43">
        <f t="shared" si="2"/>
        <v>1320</v>
      </c>
    </row>
    <row r="62" spans="1:15" x14ac:dyDescent="0.25">
      <c r="A62" s="31">
        <v>41317</v>
      </c>
      <c r="B62" t="s">
        <v>40</v>
      </c>
      <c r="C62" s="30">
        <v>9</v>
      </c>
      <c r="D62" s="30" t="s">
        <v>38</v>
      </c>
      <c r="E62" s="30">
        <v>20</v>
      </c>
      <c r="F62" t="str">
        <f>VLOOKUP(C62,Products!$A$2:$H$16,2,FALSE)</f>
        <v>A Guide to Health</v>
      </c>
      <c r="G62" t="str">
        <f>VLOOKUP(C62,Products!$A$2:$H$16,3,FALSE)</f>
        <v>Mahatma Gandhi</v>
      </c>
      <c r="H62" t="str">
        <f>VLOOKUP(C62,Products!$A$2:$H$16,4,FALSE)</f>
        <v>Soft Cover</v>
      </c>
      <c r="I62">
        <f>VLOOKUP(C62,Products!$A$2:$H$16,5,FALSE)</f>
        <v>1921</v>
      </c>
      <c r="J62" s="29">
        <f>VLOOKUP(C62,Products!$A$2:$H$16,6,FALSE)</f>
        <v>220</v>
      </c>
      <c r="K62" s="32">
        <f>VLOOKUP(C62,Products!$A$2:$H$16,7,FALSE)</f>
        <v>0.15</v>
      </c>
      <c r="L62" s="29">
        <f>VLOOKUP(C62,Products!$A$2:$H$16,8,FALSE)</f>
        <v>253</v>
      </c>
      <c r="M62" s="41">
        <f t="shared" si="0"/>
        <v>2</v>
      </c>
      <c r="N62" s="43">
        <f t="shared" si="1"/>
        <v>5060</v>
      </c>
      <c r="O62" s="43">
        <f t="shared" si="2"/>
        <v>4400</v>
      </c>
    </row>
    <row r="63" spans="1:15" x14ac:dyDescent="0.25">
      <c r="A63" s="31">
        <v>41317</v>
      </c>
      <c r="B63" t="s">
        <v>40</v>
      </c>
      <c r="C63" s="30">
        <v>7</v>
      </c>
      <c r="D63" s="30" t="s">
        <v>38</v>
      </c>
      <c r="E63" s="30">
        <v>11</v>
      </c>
      <c r="F63" t="str">
        <f>VLOOKUP(C63,Products!$A$2:$H$16,2,FALSE)</f>
        <v>The Story of my Experiments with Truth</v>
      </c>
      <c r="G63" t="str">
        <f>VLOOKUP(C63,Products!$A$2:$H$16,3,FALSE)</f>
        <v>Mahatma Gandhi</v>
      </c>
      <c r="H63" t="str">
        <f>VLOOKUP(C63,Products!$A$2:$H$16,4,FALSE)</f>
        <v>Soft Cover</v>
      </c>
      <c r="I63">
        <f>VLOOKUP(C63,Products!$A$2:$H$16,5,FALSE)</f>
        <v>1927</v>
      </c>
      <c r="J63" s="29">
        <f>VLOOKUP(C63,Products!$A$2:$H$16,6,FALSE)</f>
        <v>109</v>
      </c>
      <c r="K63" s="32">
        <f>VLOOKUP(C63,Products!$A$2:$H$16,7,FALSE)</f>
        <v>0.3</v>
      </c>
      <c r="L63" s="29">
        <f>VLOOKUP(C63,Products!$A$2:$H$16,8,FALSE)</f>
        <v>141.69999999999999</v>
      </c>
      <c r="M63" s="41">
        <f t="shared" si="0"/>
        <v>2</v>
      </c>
      <c r="N63" s="43">
        <f t="shared" si="1"/>
        <v>1558.6999999999998</v>
      </c>
      <c r="O63" s="43">
        <f t="shared" si="2"/>
        <v>1199</v>
      </c>
    </row>
    <row r="64" spans="1:15" x14ac:dyDescent="0.25">
      <c r="A64" s="31">
        <v>41317</v>
      </c>
      <c r="B64" t="s">
        <v>33</v>
      </c>
      <c r="C64" s="30">
        <v>11</v>
      </c>
      <c r="D64" s="30" t="s">
        <v>38</v>
      </c>
      <c r="E64" s="30">
        <v>9</v>
      </c>
      <c r="F64" t="str">
        <f>VLOOKUP(C64,Products!$A$2:$H$16,2,FALSE)</f>
        <v>The Discovery of India</v>
      </c>
      <c r="G64" t="str">
        <f>VLOOKUP(C64,Products!$A$2:$H$16,3,FALSE)</f>
        <v>Jawaharlal Nehru</v>
      </c>
      <c r="H64" t="str">
        <f>VLOOKUP(C64,Products!$A$2:$H$16,4,FALSE)</f>
        <v>e-book</v>
      </c>
      <c r="I64">
        <f>VLOOKUP(C64,Products!$A$2:$H$16,5,FALSE)</f>
        <v>2004</v>
      </c>
      <c r="J64" s="29">
        <f>VLOOKUP(C64,Products!$A$2:$H$16,6,FALSE)</f>
        <v>250</v>
      </c>
      <c r="K64" s="32">
        <f>VLOOKUP(C64,Products!$A$2:$H$16,7,FALSE)</f>
        <v>0.3</v>
      </c>
      <c r="L64" s="29">
        <f>VLOOKUP(C64,Products!$A$2:$H$16,8,FALSE)</f>
        <v>325</v>
      </c>
      <c r="M64" s="41">
        <f t="shared" si="0"/>
        <v>2</v>
      </c>
      <c r="N64" s="43">
        <f t="shared" si="1"/>
        <v>2925</v>
      </c>
      <c r="O64" s="43">
        <f t="shared" si="2"/>
        <v>2250</v>
      </c>
    </row>
    <row r="65" spans="1:15" x14ac:dyDescent="0.25">
      <c r="A65" s="31">
        <v>41320</v>
      </c>
      <c r="B65" t="s">
        <v>40</v>
      </c>
      <c r="C65" s="30">
        <v>1</v>
      </c>
      <c r="D65" s="30" t="s">
        <v>34</v>
      </c>
      <c r="E65" s="30">
        <v>15</v>
      </c>
      <c r="F65" t="str">
        <f>VLOOKUP(C65,Products!$A$2:$H$16,2,FALSE)</f>
        <v>The Discovery of India</v>
      </c>
      <c r="G65" t="str">
        <f>VLOOKUP(C65,Products!$A$2:$H$16,3,FALSE)</f>
        <v>Jawaharlal Nehru</v>
      </c>
      <c r="H65" t="str">
        <f>VLOOKUP(C65,Products!$A$2:$H$16,4,FALSE)</f>
        <v>Hard Cover</v>
      </c>
      <c r="I65">
        <f>VLOOKUP(C65,Products!$A$2:$H$16,5,FALSE)</f>
        <v>1946</v>
      </c>
      <c r="J65" s="29">
        <f>VLOOKUP(C65,Products!$A$2:$H$16,6,FALSE)</f>
        <v>599.95000000000005</v>
      </c>
      <c r="K65" s="32">
        <f>VLOOKUP(C65,Products!$A$2:$H$16,7,FALSE)</f>
        <v>0.3</v>
      </c>
      <c r="L65" s="29">
        <f>VLOOKUP(C65,Products!$A$2:$H$16,8,FALSE)</f>
        <v>779.93500000000006</v>
      </c>
      <c r="M65" s="41">
        <f t="shared" si="0"/>
        <v>2</v>
      </c>
      <c r="N65" s="43">
        <f t="shared" si="1"/>
        <v>11699.025000000001</v>
      </c>
      <c r="O65" s="43">
        <f t="shared" si="2"/>
        <v>8999.25</v>
      </c>
    </row>
    <row r="66" spans="1:15" x14ac:dyDescent="0.25">
      <c r="A66" s="31">
        <v>41320</v>
      </c>
      <c r="B66" t="s">
        <v>42</v>
      </c>
      <c r="C66" s="30">
        <v>3</v>
      </c>
      <c r="D66" s="30" t="s">
        <v>34</v>
      </c>
      <c r="E66" s="30">
        <v>18</v>
      </c>
      <c r="F66" t="str">
        <f>VLOOKUP(C66,Products!$A$2:$H$16,2,FALSE)</f>
        <v>Glimpses of World History</v>
      </c>
      <c r="G66" t="str">
        <f>VLOOKUP(C66,Products!$A$2:$H$16,3,FALSE)</f>
        <v>Jawaharlal Nehru</v>
      </c>
      <c r="H66" t="str">
        <f>VLOOKUP(C66,Products!$A$2:$H$16,4,FALSE)</f>
        <v>Hard Cover</v>
      </c>
      <c r="I66">
        <f>VLOOKUP(C66,Products!$A$2:$H$16,5,FALSE)</f>
        <v>1934</v>
      </c>
      <c r="J66" s="29">
        <f>VLOOKUP(C66,Products!$A$2:$H$16,6,FALSE)</f>
        <v>750.45899999999995</v>
      </c>
      <c r="K66" s="32">
        <f>VLOOKUP(C66,Products!$A$2:$H$16,7,FALSE)</f>
        <v>0.2</v>
      </c>
      <c r="L66" s="29">
        <f>VLOOKUP(C66,Products!$A$2:$H$16,8,FALSE)</f>
        <v>900.55079999999998</v>
      </c>
      <c r="M66" s="41">
        <f t="shared" si="0"/>
        <v>2</v>
      </c>
      <c r="N66" s="43">
        <f t="shared" si="1"/>
        <v>16209.9144</v>
      </c>
      <c r="O66" s="43">
        <f t="shared" si="2"/>
        <v>13508.261999999999</v>
      </c>
    </row>
    <row r="67" spans="1:15" x14ac:dyDescent="0.25">
      <c r="A67" s="31">
        <v>41321</v>
      </c>
      <c r="B67" t="s">
        <v>39</v>
      </c>
      <c r="C67" s="30">
        <v>9</v>
      </c>
      <c r="D67" s="30" t="s">
        <v>38</v>
      </c>
      <c r="E67" s="30">
        <v>11</v>
      </c>
      <c r="F67" t="str">
        <f>VLOOKUP(C67,Products!$A$2:$H$16,2,FALSE)</f>
        <v>A Guide to Health</v>
      </c>
      <c r="G67" t="str">
        <f>VLOOKUP(C67,Products!$A$2:$H$16,3,FALSE)</f>
        <v>Mahatma Gandhi</v>
      </c>
      <c r="H67" t="str">
        <f>VLOOKUP(C67,Products!$A$2:$H$16,4,FALSE)</f>
        <v>Soft Cover</v>
      </c>
      <c r="I67">
        <f>VLOOKUP(C67,Products!$A$2:$H$16,5,FALSE)</f>
        <v>1921</v>
      </c>
      <c r="J67" s="29">
        <f>VLOOKUP(C67,Products!$A$2:$H$16,6,FALSE)</f>
        <v>220</v>
      </c>
      <c r="K67" s="32">
        <f>VLOOKUP(C67,Products!$A$2:$H$16,7,FALSE)</f>
        <v>0.15</v>
      </c>
      <c r="L67" s="29">
        <f>VLOOKUP(C67,Products!$A$2:$H$16,8,FALSE)</f>
        <v>253</v>
      </c>
      <c r="M67" s="41">
        <f t="shared" ref="M67:M130" si="3">MONTH(A67)</f>
        <v>2</v>
      </c>
      <c r="N67" s="43">
        <f t="shared" ref="N67:N130" si="4">L67*E67</f>
        <v>2783</v>
      </c>
      <c r="O67" s="43">
        <f t="shared" ref="O67:O130" si="5">J67*E67</f>
        <v>2420</v>
      </c>
    </row>
    <row r="68" spans="1:15" x14ac:dyDescent="0.25">
      <c r="A68" s="31">
        <v>41321</v>
      </c>
      <c r="B68" t="s">
        <v>35</v>
      </c>
      <c r="C68" s="30">
        <v>6</v>
      </c>
      <c r="D68" s="30" t="s">
        <v>34</v>
      </c>
      <c r="E68" s="30">
        <v>7</v>
      </c>
      <c r="F68" t="str">
        <f>VLOOKUP(C68,Products!$A$2:$H$16,2,FALSE)</f>
        <v>The Discovery of India</v>
      </c>
      <c r="G68" t="str">
        <f>VLOOKUP(C68,Products!$A$2:$H$16,3,FALSE)</f>
        <v>Jawaharlal Nehru</v>
      </c>
      <c r="H68" t="str">
        <f>VLOOKUP(C68,Products!$A$2:$H$16,4,FALSE)</f>
        <v>Soft Cover</v>
      </c>
      <c r="I68">
        <f>VLOOKUP(C68,Products!$A$2:$H$16,5,FALSE)</f>
        <v>1946</v>
      </c>
      <c r="J68" s="29">
        <f>VLOOKUP(C68,Products!$A$2:$H$16,6,FALSE)</f>
        <v>499</v>
      </c>
      <c r="K68" s="32">
        <f>VLOOKUP(C68,Products!$A$2:$H$16,7,FALSE)</f>
        <v>0.3</v>
      </c>
      <c r="L68" s="29">
        <f>VLOOKUP(C68,Products!$A$2:$H$16,8,FALSE)</f>
        <v>648.70000000000005</v>
      </c>
      <c r="M68" s="41">
        <f t="shared" si="3"/>
        <v>2</v>
      </c>
      <c r="N68" s="43">
        <f t="shared" si="4"/>
        <v>4540.9000000000005</v>
      </c>
      <c r="O68" s="43">
        <f t="shared" si="5"/>
        <v>3493</v>
      </c>
    </row>
    <row r="69" spans="1:15" x14ac:dyDescent="0.25">
      <c r="A69" s="31">
        <v>41323</v>
      </c>
      <c r="B69" t="s">
        <v>39</v>
      </c>
      <c r="C69" s="30">
        <v>15</v>
      </c>
      <c r="D69" s="30" t="s">
        <v>34</v>
      </c>
      <c r="E69" s="30">
        <v>16</v>
      </c>
      <c r="F69" t="str">
        <f>VLOOKUP(C69,Products!$A$2:$H$16,2,FALSE)</f>
        <v>Wings of Fire</v>
      </c>
      <c r="G69" t="str">
        <f>VLOOKUP(C69,Products!$A$2:$H$16,3,FALSE)</f>
        <v>APJ Abdul Kalam,
Arun Tiwari</v>
      </c>
      <c r="H69" t="str">
        <f>VLOOKUP(C69,Products!$A$2:$H$16,4,FALSE)</f>
        <v>e-book</v>
      </c>
      <c r="I69">
        <f>VLOOKUP(C69,Products!$A$2:$H$16,5,FALSE)</f>
        <v>2005</v>
      </c>
      <c r="J69" s="29">
        <f>VLOOKUP(C69,Products!$A$2:$H$16,6,FALSE)</f>
        <v>500</v>
      </c>
      <c r="K69" s="32">
        <f>VLOOKUP(C69,Products!$A$2:$H$16,7,FALSE)</f>
        <v>0.1</v>
      </c>
      <c r="L69" s="29">
        <f>VLOOKUP(C69,Products!$A$2:$H$16,8,FALSE)</f>
        <v>550</v>
      </c>
      <c r="M69" s="41">
        <f t="shared" si="3"/>
        <v>2</v>
      </c>
      <c r="N69" s="43">
        <f t="shared" si="4"/>
        <v>8800</v>
      </c>
      <c r="O69" s="43">
        <f t="shared" si="5"/>
        <v>8000</v>
      </c>
    </row>
    <row r="70" spans="1:15" x14ac:dyDescent="0.25">
      <c r="A70" s="31">
        <v>41323</v>
      </c>
      <c r="B70" t="s">
        <v>40</v>
      </c>
      <c r="C70" s="30">
        <v>11</v>
      </c>
      <c r="D70" s="30" t="s">
        <v>38</v>
      </c>
      <c r="E70" s="30">
        <v>1</v>
      </c>
      <c r="F70" t="str">
        <f>VLOOKUP(C70,Products!$A$2:$H$16,2,FALSE)</f>
        <v>The Discovery of India</v>
      </c>
      <c r="G70" t="str">
        <f>VLOOKUP(C70,Products!$A$2:$H$16,3,FALSE)</f>
        <v>Jawaharlal Nehru</v>
      </c>
      <c r="H70" t="str">
        <f>VLOOKUP(C70,Products!$A$2:$H$16,4,FALSE)</f>
        <v>e-book</v>
      </c>
      <c r="I70">
        <f>VLOOKUP(C70,Products!$A$2:$H$16,5,FALSE)</f>
        <v>2004</v>
      </c>
      <c r="J70" s="29">
        <f>VLOOKUP(C70,Products!$A$2:$H$16,6,FALSE)</f>
        <v>250</v>
      </c>
      <c r="K70" s="32">
        <f>VLOOKUP(C70,Products!$A$2:$H$16,7,FALSE)</f>
        <v>0.3</v>
      </c>
      <c r="L70" s="29">
        <f>VLOOKUP(C70,Products!$A$2:$H$16,8,FALSE)</f>
        <v>325</v>
      </c>
      <c r="M70" s="41">
        <f t="shared" si="3"/>
        <v>2</v>
      </c>
      <c r="N70" s="43">
        <f t="shared" si="4"/>
        <v>325</v>
      </c>
      <c r="O70" s="43">
        <f t="shared" si="5"/>
        <v>250</v>
      </c>
    </row>
    <row r="71" spans="1:15" x14ac:dyDescent="0.25">
      <c r="A71" s="31">
        <v>41323</v>
      </c>
      <c r="B71" t="s">
        <v>37</v>
      </c>
      <c r="C71" s="30">
        <v>14</v>
      </c>
      <c r="D71" s="30" t="s">
        <v>38</v>
      </c>
      <c r="E71" s="30">
        <v>1</v>
      </c>
      <c r="F71" t="str">
        <f>VLOOKUP(C71,Products!$A$2:$H$16,2,FALSE)</f>
        <v>A Guide to Health</v>
      </c>
      <c r="G71" t="str">
        <f>VLOOKUP(C71,Products!$A$2:$H$16,3,FALSE)</f>
        <v>Mahatma Gandhi</v>
      </c>
      <c r="H71" t="str">
        <f>VLOOKUP(C71,Products!$A$2:$H$16,4,FALSE)</f>
        <v>e-book</v>
      </c>
      <c r="I71">
        <f>VLOOKUP(C71,Products!$A$2:$H$16,5,FALSE)</f>
        <v>2005</v>
      </c>
      <c r="J71" s="29">
        <f>VLOOKUP(C71,Products!$A$2:$H$16,6,FALSE)</f>
        <v>105</v>
      </c>
      <c r="K71" s="32">
        <f>VLOOKUP(C71,Products!$A$2:$H$16,7,FALSE)</f>
        <v>0.15</v>
      </c>
      <c r="L71" s="29">
        <f>VLOOKUP(C71,Products!$A$2:$H$16,8,FALSE)</f>
        <v>120.75</v>
      </c>
      <c r="M71" s="41">
        <f t="shared" si="3"/>
        <v>2</v>
      </c>
      <c r="N71" s="43">
        <f t="shared" si="4"/>
        <v>120.75</v>
      </c>
      <c r="O71" s="43">
        <f t="shared" si="5"/>
        <v>105</v>
      </c>
    </row>
    <row r="72" spans="1:15" x14ac:dyDescent="0.25">
      <c r="A72" s="31">
        <v>41326</v>
      </c>
      <c r="B72" t="s">
        <v>41</v>
      </c>
      <c r="C72" s="30">
        <v>13</v>
      </c>
      <c r="D72" s="30" t="s">
        <v>38</v>
      </c>
      <c r="E72" s="30">
        <v>13</v>
      </c>
      <c r="F72" t="str">
        <f>VLOOKUP(C72,Products!$A$2:$H$16,2,FALSE)</f>
        <v>Glimpses of World History</v>
      </c>
      <c r="G72" t="str">
        <f>VLOOKUP(C72,Products!$A$2:$H$16,3,FALSE)</f>
        <v>Jawaharlal Nehru</v>
      </c>
      <c r="H72" t="str">
        <f>VLOOKUP(C72,Products!$A$2:$H$16,4,FALSE)</f>
        <v>e-book</v>
      </c>
      <c r="I72">
        <f>VLOOKUP(C72,Products!$A$2:$H$16,5,FALSE)</f>
        <v>2005</v>
      </c>
      <c r="J72" s="29">
        <f>VLOOKUP(C72,Products!$A$2:$H$16,6,FALSE)</f>
        <v>300</v>
      </c>
      <c r="K72" s="32">
        <f>VLOOKUP(C72,Products!$A$2:$H$16,7,FALSE)</f>
        <v>0.2</v>
      </c>
      <c r="L72" s="29">
        <f>VLOOKUP(C72,Products!$A$2:$H$16,8,FALSE)</f>
        <v>360</v>
      </c>
      <c r="M72" s="41">
        <f t="shared" si="3"/>
        <v>2</v>
      </c>
      <c r="N72" s="43">
        <f t="shared" si="4"/>
        <v>4680</v>
      </c>
      <c r="O72" s="43">
        <f t="shared" si="5"/>
        <v>3900</v>
      </c>
    </row>
    <row r="73" spans="1:15" x14ac:dyDescent="0.25">
      <c r="A73" s="31">
        <v>41326</v>
      </c>
      <c r="B73" t="s">
        <v>42</v>
      </c>
      <c r="C73" s="30">
        <v>1</v>
      </c>
      <c r="D73" s="30" t="s">
        <v>38</v>
      </c>
      <c r="E73" s="30">
        <v>1</v>
      </c>
      <c r="F73" t="str">
        <f>VLOOKUP(C73,Products!$A$2:$H$16,2,FALSE)</f>
        <v>The Discovery of India</v>
      </c>
      <c r="G73" t="str">
        <f>VLOOKUP(C73,Products!$A$2:$H$16,3,FALSE)</f>
        <v>Jawaharlal Nehru</v>
      </c>
      <c r="H73" t="str">
        <f>VLOOKUP(C73,Products!$A$2:$H$16,4,FALSE)</f>
        <v>Hard Cover</v>
      </c>
      <c r="I73">
        <f>VLOOKUP(C73,Products!$A$2:$H$16,5,FALSE)</f>
        <v>1946</v>
      </c>
      <c r="J73" s="29">
        <f>VLOOKUP(C73,Products!$A$2:$H$16,6,FALSE)</f>
        <v>599.95000000000005</v>
      </c>
      <c r="K73" s="32">
        <f>VLOOKUP(C73,Products!$A$2:$H$16,7,FALSE)</f>
        <v>0.3</v>
      </c>
      <c r="L73" s="29">
        <f>VLOOKUP(C73,Products!$A$2:$H$16,8,FALSE)</f>
        <v>779.93500000000006</v>
      </c>
      <c r="M73" s="41">
        <f t="shared" si="3"/>
        <v>2</v>
      </c>
      <c r="N73" s="43">
        <f t="shared" si="4"/>
        <v>779.93500000000006</v>
      </c>
      <c r="O73" s="43">
        <f t="shared" si="5"/>
        <v>599.95000000000005</v>
      </c>
    </row>
    <row r="74" spans="1:15" x14ac:dyDescent="0.25">
      <c r="A74" s="31">
        <v>41327</v>
      </c>
      <c r="B74" t="s">
        <v>40</v>
      </c>
      <c r="C74" s="30">
        <v>10</v>
      </c>
      <c r="D74" s="30" t="s">
        <v>34</v>
      </c>
      <c r="E74" s="30">
        <v>16</v>
      </c>
      <c r="F74" t="str">
        <f>VLOOKUP(C74,Products!$A$2:$H$16,2,FALSE)</f>
        <v>Wings of Fire</v>
      </c>
      <c r="G74" t="str">
        <f>VLOOKUP(C74,Products!$A$2:$H$16,3,FALSE)</f>
        <v>APJ Abdul Kalam,
Arun Tiwari</v>
      </c>
      <c r="H74" t="str">
        <f>VLOOKUP(C74,Products!$A$2:$H$16,4,FALSE)</f>
        <v>Soft Cover</v>
      </c>
      <c r="I74">
        <f>VLOOKUP(C74,Products!$A$2:$H$16,5,FALSE)</f>
        <v>1999</v>
      </c>
      <c r="J74" s="29">
        <f>VLOOKUP(C74,Products!$A$2:$H$16,6,FALSE)</f>
        <v>1200</v>
      </c>
      <c r="K74" s="32">
        <f>VLOOKUP(C74,Products!$A$2:$H$16,7,FALSE)</f>
        <v>0.1</v>
      </c>
      <c r="L74" s="29">
        <f>VLOOKUP(C74,Products!$A$2:$H$16,8,FALSE)</f>
        <v>1320</v>
      </c>
      <c r="M74" s="41">
        <f t="shared" si="3"/>
        <v>2</v>
      </c>
      <c r="N74" s="43">
        <f t="shared" si="4"/>
        <v>21120</v>
      </c>
      <c r="O74" s="43">
        <f t="shared" si="5"/>
        <v>19200</v>
      </c>
    </row>
    <row r="75" spans="1:15" x14ac:dyDescent="0.25">
      <c r="A75" s="31">
        <v>41327</v>
      </c>
      <c r="B75" t="s">
        <v>42</v>
      </c>
      <c r="C75" s="30">
        <v>10</v>
      </c>
      <c r="D75" s="30" t="s">
        <v>34</v>
      </c>
      <c r="E75" s="30">
        <v>7</v>
      </c>
      <c r="F75" t="str">
        <f>VLOOKUP(C75,Products!$A$2:$H$16,2,FALSE)</f>
        <v>Wings of Fire</v>
      </c>
      <c r="G75" t="str">
        <f>VLOOKUP(C75,Products!$A$2:$H$16,3,FALSE)</f>
        <v>APJ Abdul Kalam,
Arun Tiwari</v>
      </c>
      <c r="H75" t="str">
        <f>VLOOKUP(C75,Products!$A$2:$H$16,4,FALSE)</f>
        <v>Soft Cover</v>
      </c>
      <c r="I75">
        <f>VLOOKUP(C75,Products!$A$2:$H$16,5,FALSE)</f>
        <v>1999</v>
      </c>
      <c r="J75" s="29">
        <f>VLOOKUP(C75,Products!$A$2:$H$16,6,FALSE)</f>
        <v>1200</v>
      </c>
      <c r="K75" s="32">
        <f>VLOOKUP(C75,Products!$A$2:$H$16,7,FALSE)</f>
        <v>0.1</v>
      </c>
      <c r="L75" s="29">
        <f>VLOOKUP(C75,Products!$A$2:$H$16,8,FALSE)</f>
        <v>1320</v>
      </c>
      <c r="M75" s="41">
        <f t="shared" si="3"/>
        <v>2</v>
      </c>
      <c r="N75" s="43">
        <f t="shared" si="4"/>
        <v>9240</v>
      </c>
      <c r="O75" s="43">
        <f t="shared" si="5"/>
        <v>8400</v>
      </c>
    </row>
    <row r="76" spans="1:15" x14ac:dyDescent="0.25">
      <c r="A76" s="31">
        <v>41327</v>
      </c>
      <c r="B76" t="s">
        <v>39</v>
      </c>
      <c r="C76" s="30">
        <v>4</v>
      </c>
      <c r="D76" s="30" t="s">
        <v>34</v>
      </c>
      <c r="E76" s="30">
        <v>7</v>
      </c>
      <c r="F76" t="str">
        <f>VLOOKUP(C76,Products!$A$2:$H$16,2,FALSE)</f>
        <v>A Guide to Health</v>
      </c>
      <c r="G76" t="str">
        <f>VLOOKUP(C76,Products!$A$2:$H$16,3,FALSE)</f>
        <v>Mahatma Gandhi</v>
      </c>
      <c r="H76" t="str">
        <f>VLOOKUP(C76,Products!$A$2:$H$16,4,FALSE)</f>
        <v>Hard Cover</v>
      </c>
      <c r="I76">
        <f>VLOOKUP(C76,Products!$A$2:$H$16,5,FALSE)</f>
        <v>1921</v>
      </c>
      <c r="J76" s="29">
        <f>VLOOKUP(C76,Products!$A$2:$H$16,6,FALSE)</f>
        <v>250</v>
      </c>
      <c r="K76" s="32">
        <f>VLOOKUP(C76,Products!$A$2:$H$16,7,FALSE)</f>
        <v>0.15</v>
      </c>
      <c r="L76" s="29">
        <f>VLOOKUP(C76,Products!$A$2:$H$16,8,FALSE)</f>
        <v>287.5</v>
      </c>
      <c r="M76" s="41">
        <f t="shared" si="3"/>
        <v>2</v>
      </c>
      <c r="N76" s="43">
        <f t="shared" si="4"/>
        <v>2012.5</v>
      </c>
      <c r="O76" s="43">
        <f t="shared" si="5"/>
        <v>1750</v>
      </c>
    </row>
    <row r="77" spans="1:15" x14ac:dyDescent="0.25">
      <c r="A77" s="31">
        <v>41327</v>
      </c>
      <c r="B77" t="s">
        <v>41</v>
      </c>
      <c r="C77" s="30">
        <v>14</v>
      </c>
      <c r="D77" s="30" t="s">
        <v>34</v>
      </c>
      <c r="E77" s="30">
        <v>12</v>
      </c>
      <c r="F77" t="str">
        <f>VLOOKUP(C77,Products!$A$2:$H$16,2,FALSE)</f>
        <v>A Guide to Health</v>
      </c>
      <c r="G77" t="str">
        <f>VLOOKUP(C77,Products!$A$2:$H$16,3,FALSE)</f>
        <v>Mahatma Gandhi</v>
      </c>
      <c r="H77" t="str">
        <f>VLOOKUP(C77,Products!$A$2:$H$16,4,FALSE)</f>
        <v>e-book</v>
      </c>
      <c r="I77">
        <f>VLOOKUP(C77,Products!$A$2:$H$16,5,FALSE)</f>
        <v>2005</v>
      </c>
      <c r="J77" s="29">
        <f>VLOOKUP(C77,Products!$A$2:$H$16,6,FALSE)</f>
        <v>105</v>
      </c>
      <c r="K77" s="32">
        <f>VLOOKUP(C77,Products!$A$2:$H$16,7,FALSE)</f>
        <v>0.15</v>
      </c>
      <c r="L77" s="29">
        <f>VLOOKUP(C77,Products!$A$2:$H$16,8,FALSE)</f>
        <v>120.75</v>
      </c>
      <c r="M77" s="41">
        <f t="shared" si="3"/>
        <v>2</v>
      </c>
      <c r="N77" s="43">
        <f t="shared" si="4"/>
        <v>1449</v>
      </c>
      <c r="O77" s="43">
        <f t="shared" si="5"/>
        <v>1260</v>
      </c>
    </row>
    <row r="78" spans="1:15" x14ac:dyDescent="0.25">
      <c r="A78" s="31">
        <v>41327</v>
      </c>
      <c r="B78" t="s">
        <v>39</v>
      </c>
      <c r="C78" s="30">
        <v>3</v>
      </c>
      <c r="D78" s="30" t="s">
        <v>38</v>
      </c>
      <c r="E78" s="30">
        <v>19</v>
      </c>
      <c r="F78" t="str">
        <f>VLOOKUP(C78,Products!$A$2:$H$16,2,FALSE)</f>
        <v>Glimpses of World History</v>
      </c>
      <c r="G78" t="str">
        <f>VLOOKUP(C78,Products!$A$2:$H$16,3,FALSE)</f>
        <v>Jawaharlal Nehru</v>
      </c>
      <c r="H78" t="str">
        <f>VLOOKUP(C78,Products!$A$2:$H$16,4,FALSE)</f>
        <v>Hard Cover</v>
      </c>
      <c r="I78">
        <f>VLOOKUP(C78,Products!$A$2:$H$16,5,FALSE)</f>
        <v>1934</v>
      </c>
      <c r="J78" s="29">
        <f>VLOOKUP(C78,Products!$A$2:$H$16,6,FALSE)</f>
        <v>750.45899999999995</v>
      </c>
      <c r="K78" s="32">
        <f>VLOOKUP(C78,Products!$A$2:$H$16,7,FALSE)</f>
        <v>0.2</v>
      </c>
      <c r="L78" s="29">
        <f>VLOOKUP(C78,Products!$A$2:$H$16,8,FALSE)</f>
        <v>900.55079999999998</v>
      </c>
      <c r="M78" s="41">
        <f t="shared" si="3"/>
        <v>2</v>
      </c>
      <c r="N78" s="43">
        <f t="shared" si="4"/>
        <v>17110.465199999999</v>
      </c>
      <c r="O78" s="43">
        <f t="shared" si="5"/>
        <v>14258.721</v>
      </c>
    </row>
    <row r="79" spans="1:15" x14ac:dyDescent="0.25">
      <c r="A79" s="31">
        <v>41328</v>
      </c>
      <c r="B79" t="s">
        <v>42</v>
      </c>
      <c r="C79" s="30">
        <v>1</v>
      </c>
      <c r="D79" s="30" t="s">
        <v>38</v>
      </c>
      <c r="E79" s="30">
        <v>6</v>
      </c>
      <c r="F79" t="str">
        <f>VLOOKUP(C79,Products!$A$2:$H$16,2,FALSE)</f>
        <v>The Discovery of India</v>
      </c>
      <c r="G79" t="str">
        <f>VLOOKUP(C79,Products!$A$2:$H$16,3,FALSE)</f>
        <v>Jawaharlal Nehru</v>
      </c>
      <c r="H79" t="str">
        <f>VLOOKUP(C79,Products!$A$2:$H$16,4,FALSE)</f>
        <v>Hard Cover</v>
      </c>
      <c r="I79">
        <f>VLOOKUP(C79,Products!$A$2:$H$16,5,FALSE)</f>
        <v>1946</v>
      </c>
      <c r="J79" s="29">
        <f>VLOOKUP(C79,Products!$A$2:$H$16,6,FALSE)</f>
        <v>599.95000000000005</v>
      </c>
      <c r="K79" s="32">
        <f>VLOOKUP(C79,Products!$A$2:$H$16,7,FALSE)</f>
        <v>0.3</v>
      </c>
      <c r="L79" s="29">
        <f>VLOOKUP(C79,Products!$A$2:$H$16,8,FALSE)</f>
        <v>779.93500000000006</v>
      </c>
      <c r="M79" s="41">
        <f t="shared" si="3"/>
        <v>2</v>
      </c>
      <c r="N79" s="43">
        <f t="shared" si="4"/>
        <v>4679.6100000000006</v>
      </c>
      <c r="O79" s="43">
        <f t="shared" si="5"/>
        <v>3599.7000000000003</v>
      </c>
    </row>
    <row r="80" spans="1:15" x14ac:dyDescent="0.25">
      <c r="A80" s="31">
        <v>41329</v>
      </c>
      <c r="B80" t="s">
        <v>37</v>
      </c>
      <c r="C80" s="30">
        <v>13</v>
      </c>
      <c r="D80" s="30" t="s">
        <v>38</v>
      </c>
      <c r="E80" s="30">
        <v>20</v>
      </c>
      <c r="F80" t="str">
        <f>VLOOKUP(C80,Products!$A$2:$H$16,2,FALSE)</f>
        <v>Glimpses of World History</v>
      </c>
      <c r="G80" t="str">
        <f>VLOOKUP(C80,Products!$A$2:$H$16,3,FALSE)</f>
        <v>Jawaharlal Nehru</v>
      </c>
      <c r="H80" t="str">
        <f>VLOOKUP(C80,Products!$A$2:$H$16,4,FALSE)</f>
        <v>e-book</v>
      </c>
      <c r="I80">
        <f>VLOOKUP(C80,Products!$A$2:$H$16,5,FALSE)</f>
        <v>2005</v>
      </c>
      <c r="J80" s="29">
        <f>VLOOKUP(C80,Products!$A$2:$H$16,6,FALSE)</f>
        <v>300</v>
      </c>
      <c r="K80" s="32">
        <f>VLOOKUP(C80,Products!$A$2:$H$16,7,FALSE)</f>
        <v>0.2</v>
      </c>
      <c r="L80" s="29">
        <f>VLOOKUP(C80,Products!$A$2:$H$16,8,FALSE)</f>
        <v>360</v>
      </c>
      <c r="M80" s="41">
        <f t="shared" si="3"/>
        <v>2</v>
      </c>
      <c r="N80" s="43">
        <f t="shared" si="4"/>
        <v>7200</v>
      </c>
      <c r="O80" s="43">
        <f t="shared" si="5"/>
        <v>6000</v>
      </c>
    </row>
    <row r="81" spans="1:15" x14ac:dyDescent="0.25">
      <c r="A81" s="31">
        <v>41329</v>
      </c>
      <c r="B81" t="s">
        <v>36</v>
      </c>
      <c r="C81" s="30">
        <v>8</v>
      </c>
      <c r="D81" s="30" t="s">
        <v>38</v>
      </c>
      <c r="E81" s="30">
        <v>16</v>
      </c>
      <c r="F81" t="str">
        <f>VLOOKUP(C81,Products!$A$2:$H$16,2,FALSE)</f>
        <v>Glimpses of World History</v>
      </c>
      <c r="G81" t="str">
        <f>VLOOKUP(C81,Products!$A$2:$H$16,3,FALSE)</f>
        <v>Jawaharlal Nehru</v>
      </c>
      <c r="H81" t="str">
        <f>VLOOKUP(C81,Products!$A$2:$H$16,4,FALSE)</f>
        <v>Soft Cover</v>
      </c>
      <c r="I81">
        <f>VLOOKUP(C81,Products!$A$2:$H$16,5,FALSE)</f>
        <v>1934</v>
      </c>
      <c r="J81" s="29">
        <f>VLOOKUP(C81,Products!$A$2:$H$16,6,FALSE)</f>
        <v>650</v>
      </c>
      <c r="K81" s="32">
        <f>VLOOKUP(C81,Products!$A$2:$H$16,7,FALSE)</f>
        <v>0.2</v>
      </c>
      <c r="L81" s="29">
        <f>VLOOKUP(C81,Products!$A$2:$H$16,8,FALSE)</f>
        <v>780</v>
      </c>
      <c r="M81" s="41">
        <f t="shared" si="3"/>
        <v>2</v>
      </c>
      <c r="N81" s="43">
        <f t="shared" si="4"/>
        <v>12480</v>
      </c>
      <c r="O81" s="43">
        <f t="shared" si="5"/>
        <v>10400</v>
      </c>
    </row>
    <row r="82" spans="1:15" x14ac:dyDescent="0.25">
      <c r="A82" s="31">
        <v>41329</v>
      </c>
      <c r="B82" t="s">
        <v>33</v>
      </c>
      <c r="C82" s="30">
        <v>1</v>
      </c>
      <c r="D82" s="30" t="s">
        <v>34</v>
      </c>
      <c r="E82" s="30">
        <v>4</v>
      </c>
      <c r="F82" t="str">
        <f>VLOOKUP(C82,Products!$A$2:$H$16,2,FALSE)</f>
        <v>The Discovery of India</v>
      </c>
      <c r="G82" t="str">
        <f>VLOOKUP(C82,Products!$A$2:$H$16,3,FALSE)</f>
        <v>Jawaharlal Nehru</v>
      </c>
      <c r="H82" t="str">
        <f>VLOOKUP(C82,Products!$A$2:$H$16,4,FALSE)</f>
        <v>Hard Cover</v>
      </c>
      <c r="I82">
        <f>VLOOKUP(C82,Products!$A$2:$H$16,5,FALSE)</f>
        <v>1946</v>
      </c>
      <c r="J82" s="29">
        <f>VLOOKUP(C82,Products!$A$2:$H$16,6,FALSE)</f>
        <v>599.95000000000005</v>
      </c>
      <c r="K82" s="32">
        <f>VLOOKUP(C82,Products!$A$2:$H$16,7,FALSE)</f>
        <v>0.3</v>
      </c>
      <c r="L82" s="29">
        <f>VLOOKUP(C82,Products!$A$2:$H$16,8,FALSE)</f>
        <v>779.93500000000006</v>
      </c>
      <c r="M82" s="41">
        <f t="shared" si="3"/>
        <v>2</v>
      </c>
      <c r="N82" s="43">
        <f t="shared" si="4"/>
        <v>3119.7400000000002</v>
      </c>
      <c r="O82" s="43">
        <f t="shared" si="5"/>
        <v>2399.8000000000002</v>
      </c>
    </row>
    <row r="83" spans="1:15" x14ac:dyDescent="0.25">
      <c r="A83" s="31">
        <v>41329</v>
      </c>
      <c r="B83" t="s">
        <v>36</v>
      </c>
      <c r="C83" s="30">
        <v>14</v>
      </c>
      <c r="D83" s="30" t="s">
        <v>38</v>
      </c>
      <c r="E83" s="30">
        <v>4</v>
      </c>
      <c r="F83" t="str">
        <f>VLOOKUP(C83,Products!$A$2:$H$16,2,FALSE)</f>
        <v>A Guide to Health</v>
      </c>
      <c r="G83" t="str">
        <f>VLOOKUP(C83,Products!$A$2:$H$16,3,FALSE)</f>
        <v>Mahatma Gandhi</v>
      </c>
      <c r="H83" t="str">
        <f>VLOOKUP(C83,Products!$A$2:$H$16,4,FALSE)</f>
        <v>e-book</v>
      </c>
      <c r="I83">
        <f>VLOOKUP(C83,Products!$A$2:$H$16,5,FALSE)</f>
        <v>2005</v>
      </c>
      <c r="J83" s="29">
        <f>VLOOKUP(C83,Products!$A$2:$H$16,6,FALSE)</f>
        <v>105</v>
      </c>
      <c r="K83" s="32">
        <f>VLOOKUP(C83,Products!$A$2:$H$16,7,FALSE)</f>
        <v>0.15</v>
      </c>
      <c r="L83" s="29">
        <f>VLOOKUP(C83,Products!$A$2:$H$16,8,FALSE)</f>
        <v>120.75</v>
      </c>
      <c r="M83" s="41">
        <f t="shared" si="3"/>
        <v>2</v>
      </c>
      <c r="N83" s="43">
        <f t="shared" si="4"/>
        <v>483</v>
      </c>
      <c r="O83" s="43">
        <f t="shared" si="5"/>
        <v>420</v>
      </c>
    </row>
    <row r="84" spans="1:15" x14ac:dyDescent="0.25">
      <c r="A84" s="31">
        <v>41330</v>
      </c>
      <c r="B84" t="s">
        <v>33</v>
      </c>
      <c r="C84" s="30">
        <v>5</v>
      </c>
      <c r="D84" s="30" t="s">
        <v>34</v>
      </c>
      <c r="E84" s="30">
        <v>3</v>
      </c>
      <c r="F84" t="str">
        <f>VLOOKUP(C84,Products!$A$2:$H$16,2,FALSE)</f>
        <v>Wings of Fire</v>
      </c>
      <c r="G84" t="str">
        <f>VLOOKUP(C84,Products!$A$2:$H$16,3,FALSE)</f>
        <v>APJ Abdul Kalam,
Arun Tiwari</v>
      </c>
      <c r="H84" t="str">
        <f>VLOOKUP(C84,Products!$A$2:$H$16,4,FALSE)</f>
        <v>Hard Cover</v>
      </c>
      <c r="I84">
        <f>VLOOKUP(C84,Products!$A$2:$H$16,5,FALSE)</f>
        <v>1999</v>
      </c>
      <c r="J84" s="29">
        <f>VLOOKUP(C84,Products!$A$2:$H$16,6,FALSE)</f>
        <v>1275.2488000000001</v>
      </c>
      <c r="K84" s="32">
        <f>VLOOKUP(C84,Products!$A$2:$H$16,7,FALSE)</f>
        <v>0.1</v>
      </c>
      <c r="L84" s="29">
        <f>VLOOKUP(C84,Products!$A$2:$H$16,8,FALSE)</f>
        <v>1402.77368</v>
      </c>
      <c r="M84" s="41">
        <f t="shared" si="3"/>
        <v>2</v>
      </c>
      <c r="N84" s="43">
        <f t="shared" si="4"/>
        <v>4208.3210399999998</v>
      </c>
      <c r="O84" s="43">
        <f t="shared" si="5"/>
        <v>3825.7464</v>
      </c>
    </row>
    <row r="85" spans="1:15" x14ac:dyDescent="0.25">
      <c r="A85" s="31">
        <v>41331</v>
      </c>
      <c r="B85" t="s">
        <v>41</v>
      </c>
      <c r="C85" s="30">
        <v>2</v>
      </c>
      <c r="D85" s="30" t="s">
        <v>38</v>
      </c>
      <c r="E85" s="30">
        <v>13</v>
      </c>
      <c r="F85" t="str">
        <f>VLOOKUP(C85,Products!$A$2:$H$16,2,FALSE)</f>
        <v>The Story of my Experiments with Truth</v>
      </c>
      <c r="G85" t="str">
        <f>VLOOKUP(C85,Products!$A$2:$H$16,3,FALSE)</f>
        <v>Mahatma Gandhi</v>
      </c>
      <c r="H85" t="str">
        <f>VLOOKUP(C85,Products!$A$2:$H$16,4,FALSE)</f>
        <v>Hard Cover</v>
      </c>
      <c r="I85">
        <f>VLOOKUP(C85,Products!$A$2:$H$16,5,FALSE)</f>
        <v>1927</v>
      </c>
      <c r="J85" s="29">
        <f>VLOOKUP(C85,Products!$A$2:$H$16,6,FALSE)</f>
        <v>159</v>
      </c>
      <c r="K85" s="32">
        <f>VLOOKUP(C85,Products!$A$2:$H$16,7,FALSE)</f>
        <v>0.3</v>
      </c>
      <c r="L85" s="29">
        <f>VLOOKUP(C85,Products!$A$2:$H$16,8,FALSE)</f>
        <v>206.7</v>
      </c>
      <c r="M85" s="41">
        <f t="shared" si="3"/>
        <v>2</v>
      </c>
      <c r="N85" s="43">
        <f t="shared" si="4"/>
        <v>2687.1</v>
      </c>
      <c r="O85" s="43">
        <f t="shared" si="5"/>
        <v>2067</v>
      </c>
    </row>
    <row r="86" spans="1:15" x14ac:dyDescent="0.25">
      <c r="A86" s="31">
        <v>41331</v>
      </c>
      <c r="B86" t="s">
        <v>40</v>
      </c>
      <c r="C86" s="30">
        <v>15</v>
      </c>
      <c r="D86" s="30" t="s">
        <v>38</v>
      </c>
      <c r="E86" s="30">
        <v>3</v>
      </c>
      <c r="F86" t="str">
        <f>VLOOKUP(C86,Products!$A$2:$H$16,2,FALSE)</f>
        <v>Wings of Fire</v>
      </c>
      <c r="G86" t="str">
        <f>VLOOKUP(C86,Products!$A$2:$H$16,3,FALSE)</f>
        <v>APJ Abdul Kalam,
Arun Tiwari</v>
      </c>
      <c r="H86" t="str">
        <f>VLOOKUP(C86,Products!$A$2:$H$16,4,FALSE)</f>
        <v>e-book</v>
      </c>
      <c r="I86">
        <f>VLOOKUP(C86,Products!$A$2:$H$16,5,FALSE)</f>
        <v>2005</v>
      </c>
      <c r="J86" s="29">
        <f>VLOOKUP(C86,Products!$A$2:$H$16,6,FALSE)</f>
        <v>500</v>
      </c>
      <c r="K86" s="32">
        <f>VLOOKUP(C86,Products!$A$2:$H$16,7,FALSE)</f>
        <v>0.1</v>
      </c>
      <c r="L86" s="29">
        <f>VLOOKUP(C86,Products!$A$2:$H$16,8,FALSE)</f>
        <v>550</v>
      </c>
      <c r="M86" s="41">
        <f t="shared" si="3"/>
        <v>2</v>
      </c>
      <c r="N86" s="43">
        <f t="shared" si="4"/>
        <v>1650</v>
      </c>
      <c r="O86" s="43">
        <f t="shared" si="5"/>
        <v>1500</v>
      </c>
    </row>
    <row r="87" spans="1:15" x14ac:dyDescent="0.25">
      <c r="A87" s="31">
        <v>41332</v>
      </c>
      <c r="B87" t="s">
        <v>40</v>
      </c>
      <c r="C87" s="30">
        <v>7</v>
      </c>
      <c r="D87" s="30" t="s">
        <v>38</v>
      </c>
      <c r="E87" s="30">
        <v>4</v>
      </c>
      <c r="F87" t="str">
        <f>VLOOKUP(C87,Products!$A$2:$H$16,2,FALSE)</f>
        <v>The Story of my Experiments with Truth</v>
      </c>
      <c r="G87" t="str">
        <f>VLOOKUP(C87,Products!$A$2:$H$16,3,FALSE)</f>
        <v>Mahatma Gandhi</v>
      </c>
      <c r="H87" t="str">
        <f>VLOOKUP(C87,Products!$A$2:$H$16,4,FALSE)</f>
        <v>Soft Cover</v>
      </c>
      <c r="I87">
        <f>VLOOKUP(C87,Products!$A$2:$H$16,5,FALSE)</f>
        <v>1927</v>
      </c>
      <c r="J87" s="29">
        <f>VLOOKUP(C87,Products!$A$2:$H$16,6,FALSE)</f>
        <v>109</v>
      </c>
      <c r="K87" s="32">
        <f>VLOOKUP(C87,Products!$A$2:$H$16,7,FALSE)</f>
        <v>0.3</v>
      </c>
      <c r="L87" s="29">
        <f>VLOOKUP(C87,Products!$A$2:$H$16,8,FALSE)</f>
        <v>141.69999999999999</v>
      </c>
      <c r="M87" s="41">
        <f t="shared" si="3"/>
        <v>2</v>
      </c>
      <c r="N87" s="43">
        <f t="shared" si="4"/>
        <v>566.79999999999995</v>
      </c>
      <c r="O87" s="43">
        <f t="shared" si="5"/>
        <v>436</v>
      </c>
    </row>
    <row r="88" spans="1:15" x14ac:dyDescent="0.25">
      <c r="A88" s="31">
        <v>41333</v>
      </c>
      <c r="B88" t="s">
        <v>36</v>
      </c>
      <c r="C88" s="30">
        <v>15</v>
      </c>
      <c r="D88" s="30" t="s">
        <v>34</v>
      </c>
      <c r="E88" s="30">
        <v>6</v>
      </c>
      <c r="F88" t="str">
        <f>VLOOKUP(C88,Products!$A$2:$H$16,2,FALSE)</f>
        <v>Wings of Fire</v>
      </c>
      <c r="G88" t="str">
        <f>VLOOKUP(C88,Products!$A$2:$H$16,3,FALSE)</f>
        <v>APJ Abdul Kalam,
Arun Tiwari</v>
      </c>
      <c r="H88" t="str">
        <f>VLOOKUP(C88,Products!$A$2:$H$16,4,FALSE)</f>
        <v>e-book</v>
      </c>
      <c r="I88">
        <f>VLOOKUP(C88,Products!$A$2:$H$16,5,FALSE)</f>
        <v>2005</v>
      </c>
      <c r="J88" s="29">
        <f>VLOOKUP(C88,Products!$A$2:$H$16,6,FALSE)</f>
        <v>500</v>
      </c>
      <c r="K88" s="32">
        <f>VLOOKUP(C88,Products!$A$2:$H$16,7,FALSE)</f>
        <v>0.1</v>
      </c>
      <c r="L88" s="29">
        <f>VLOOKUP(C88,Products!$A$2:$H$16,8,FALSE)</f>
        <v>550</v>
      </c>
      <c r="M88" s="41">
        <f t="shared" si="3"/>
        <v>2</v>
      </c>
      <c r="N88" s="43">
        <f t="shared" si="4"/>
        <v>3300</v>
      </c>
      <c r="O88" s="43">
        <f t="shared" si="5"/>
        <v>3000</v>
      </c>
    </row>
    <row r="89" spans="1:15" x14ac:dyDescent="0.25">
      <c r="A89" s="31">
        <v>41333</v>
      </c>
      <c r="B89" t="s">
        <v>39</v>
      </c>
      <c r="C89" s="30">
        <v>11</v>
      </c>
      <c r="D89" s="30" t="s">
        <v>34</v>
      </c>
      <c r="E89" s="30">
        <v>4</v>
      </c>
      <c r="F89" t="str">
        <f>VLOOKUP(C89,Products!$A$2:$H$16,2,FALSE)</f>
        <v>The Discovery of India</v>
      </c>
      <c r="G89" t="str">
        <f>VLOOKUP(C89,Products!$A$2:$H$16,3,FALSE)</f>
        <v>Jawaharlal Nehru</v>
      </c>
      <c r="H89" t="str">
        <f>VLOOKUP(C89,Products!$A$2:$H$16,4,FALSE)</f>
        <v>e-book</v>
      </c>
      <c r="I89">
        <f>VLOOKUP(C89,Products!$A$2:$H$16,5,FALSE)</f>
        <v>2004</v>
      </c>
      <c r="J89" s="29">
        <f>VLOOKUP(C89,Products!$A$2:$H$16,6,FALSE)</f>
        <v>250</v>
      </c>
      <c r="K89" s="32">
        <f>VLOOKUP(C89,Products!$A$2:$H$16,7,FALSE)</f>
        <v>0.3</v>
      </c>
      <c r="L89" s="29">
        <f>VLOOKUP(C89,Products!$A$2:$H$16,8,FALSE)</f>
        <v>325</v>
      </c>
      <c r="M89" s="41">
        <f t="shared" si="3"/>
        <v>2</v>
      </c>
      <c r="N89" s="43">
        <f t="shared" si="4"/>
        <v>1300</v>
      </c>
      <c r="O89" s="43">
        <f t="shared" si="5"/>
        <v>1000</v>
      </c>
    </row>
    <row r="90" spans="1:15" x14ac:dyDescent="0.25">
      <c r="A90" s="31">
        <v>41333</v>
      </c>
      <c r="B90" t="s">
        <v>39</v>
      </c>
      <c r="C90" s="30">
        <v>6</v>
      </c>
      <c r="D90" s="30" t="s">
        <v>38</v>
      </c>
      <c r="E90" s="30">
        <v>16</v>
      </c>
      <c r="F90" t="str">
        <f>VLOOKUP(C90,Products!$A$2:$H$16,2,FALSE)</f>
        <v>The Discovery of India</v>
      </c>
      <c r="G90" t="str">
        <f>VLOOKUP(C90,Products!$A$2:$H$16,3,FALSE)</f>
        <v>Jawaharlal Nehru</v>
      </c>
      <c r="H90" t="str">
        <f>VLOOKUP(C90,Products!$A$2:$H$16,4,FALSE)</f>
        <v>Soft Cover</v>
      </c>
      <c r="I90">
        <f>VLOOKUP(C90,Products!$A$2:$H$16,5,FALSE)</f>
        <v>1946</v>
      </c>
      <c r="J90" s="29">
        <f>VLOOKUP(C90,Products!$A$2:$H$16,6,FALSE)</f>
        <v>499</v>
      </c>
      <c r="K90" s="32">
        <f>VLOOKUP(C90,Products!$A$2:$H$16,7,FALSE)</f>
        <v>0.3</v>
      </c>
      <c r="L90" s="29">
        <f>VLOOKUP(C90,Products!$A$2:$H$16,8,FALSE)</f>
        <v>648.70000000000005</v>
      </c>
      <c r="M90" s="41">
        <f t="shared" si="3"/>
        <v>2</v>
      </c>
      <c r="N90" s="43">
        <f t="shared" si="4"/>
        <v>10379.200000000001</v>
      </c>
      <c r="O90" s="43">
        <f t="shared" si="5"/>
        <v>7984</v>
      </c>
    </row>
    <row r="91" spans="1:15" x14ac:dyDescent="0.25">
      <c r="A91" s="31">
        <v>41333</v>
      </c>
      <c r="B91" t="s">
        <v>35</v>
      </c>
      <c r="C91" s="30">
        <v>3</v>
      </c>
      <c r="D91" s="30" t="s">
        <v>38</v>
      </c>
      <c r="E91" s="30">
        <v>15</v>
      </c>
      <c r="F91" t="str">
        <f>VLOOKUP(C91,Products!$A$2:$H$16,2,FALSE)</f>
        <v>Glimpses of World History</v>
      </c>
      <c r="G91" t="str">
        <f>VLOOKUP(C91,Products!$A$2:$H$16,3,FALSE)</f>
        <v>Jawaharlal Nehru</v>
      </c>
      <c r="H91" t="str">
        <f>VLOOKUP(C91,Products!$A$2:$H$16,4,FALSE)</f>
        <v>Hard Cover</v>
      </c>
      <c r="I91">
        <f>VLOOKUP(C91,Products!$A$2:$H$16,5,FALSE)</f>
        <v>1934</v>
      </c>
      <c r="J91" s="29">
        <f>VLOOKUP(C91,Products!$A$2:$H$16,6,FALSE)</f>
        <v>750.45899999999995</v>
      </c>
      <c r="K91" s="32">
        <f>VLOOKUP(C91,Products!$A$2:$H$16,7,FALSE)</f>
        <v>0.2</v>
      </c>
      <c r="L91" s="29">
        <f>VLOOKUP(C91,Products!$A$2:$H$16,8,FALSE)</f>
        <v>900.55079999999998</v>
      </c>
      <c r="M91" s="41">
        <f t="shared" si="3"/>
        <v>2</v>
      </c>
      <c r="N91" s="43">
        <f t="shared" si="4"/>
        <v>13508.261999999999</v>
      </c>
      <c r="O91" s="43">
        <f t="shared" si="5"/>
        <v>11256.884999999998</v>
      </c>
    </row>
    <row r="92" spans="1:15" x14ac:dyDescent="0.25">
      <c r="A92" s="31">
        <v>41334</v>
      </c>
      <c r="B92" t="s">
        <v>33</v>
      </c>
      <c r="C92" s="30">
        <v>12</v>
      </c>
      <c r="D92" s="30" t="s">
        <v>34</v>
      </c>
      <c r="E92" s="30">
        <v>8</v>
      </c>
      <c r="F92" t="str">
        <f>VLOOKUP(C92,Products!$A$2:$H$16,2,FALSE)</f>
        <v>The Story of my Experiments with Truth</v>
      </c>
      <c r="G92" t="str">
        <f>VLOOKUP(C92,Products!$A$2:$H$16,3,FALSE)</f>
        <v>Mahatma Gandhi</v>
      </c>
      <c r="H92" t="str">
        <f>VLOOKUP(C92,Products!$A$2:$H$16,4,FALSE)</f>
        <v>e-book</v>
      </c>
      <c r="I92">
        <f>VLOOKUP(C92,Products!$A$2:$H$16,5,FALSE)</f>
        <v>2004</v>
      </c>
      <c r="J92" s="29">
        <f>VLOOKUP(C92,Products!$A$2:$H$16,6,FALSE)</f>
        <v>50</v>
      </c>
      <c r="K92" s="32">
        <f>VLOOKUP(C92,Products!$A$2:$H$16,7,FALSE)</f>
        <v>0.3</v>
      </c>
      <c r="L92" s="29">
        <f>VLOOKUP(C92,Products!$A$2:$H$16,8,FALSE)</f>
        <v>65</v>
      </c>
      <c r="M92" s="41">
        <f t="shared" si="3"/>
        <v>3</v>
      </c>
      <c r="N92" s="43">
        <f t="shared" si="4"/>
        <v>520</v>
      </c>
      <c r="O92" s="43">
        <f t="shared" si="5"/>
        <v>400</v>
      </c>
    </row>
    <row r="93" spans="1:15" x14ac:dyDescent="0.25">
      <c r="A93" s="31">
        <v>41334</v>
      </c>
      <c r="B93" t="s">
        <v>33</v>
      </c>
      <c r="C93" s="30">
        <v>6</v>
      </c>
      <c r="D93" s="30" t="s">
        <v>34</v>
      </c>
      <c r="E93" s="30">
        <v>4</v>
      </c>
      <c r="F93" t="str">
        <f>VLOOKUP(C93,Products!$A$2:$H$16,2,FALSE)</f>
        <v>The Discovery of India</v>
      </c>
      <c r="G93" t="str">
        <f>VLOOKUP(C93,Products!$A$2:$H$16,3,FALSE)</f>
        <v>Jawaharlal Nehru</v>
      </c>
      <c r="H93" t="str">
        <f>VLOOKUP(C93,Products!$A$2:$H$16,4,FALSE)</f>
        <v>Soft Cover</v>
      </c>
      <c r="I93">
        <f>VLOOKUP(C93,Products!$A$2:$H$16,5,FALSE)</f>
        <v>1946</v>
      </c>
      <c r="J93" s="29">
        <f>VLOOKUP(C93,Products!$A$2:$H$16,6,FALSE)</f>
        <v>499</v>
      </c>
      <c r="K93" s="32">
        <f>VLOOKUP(C93,Products!$A$2:$H$16,7,FALSE)</f>
        <v>0.3</v>
      </c>
      <c r="L93" s="29">
        <f>VLOOKUP(C93,Products!$A$2:$H$16,8,FALSE)</f>
        <v>648.70000000000005</v>
      </c>
      <c r="M93" s="41">
        <f t="shared" si="3"/>
        <v>3</v>
      </c>
      <c r="N93" s="43">
        <f t="shared" si="4"/>
        <v>2594.8000000000002</v>
      </c>
      <c r="O93" s="43">
        <f t="shared" si="5"/>
        <v>1996</v>
      </c>
    </row>
    <row r="94" spans="1:15" x14ac:dyDescent="0.25">
      <c r="A94" s="31">
        <v>41334</v>
      </c>
      <c r="B94" t="s">
        <v>41</v>
      </c>
      <c r="C94" s="30">
        <v>13</v>
      </c>
      <c r="D94" s="30" t="s">
        <v>34</v>
      </c>
      <c r="E94" s="30">
        <v>13</v>
      </c>
      <c r="F94" t="str">
        <f>VLOOKUP(C94,Products!$A$2:$H$16,2,FALSE)</f>
        <v>Glimpses of World History</v>
      </c>
      <c r="G94" t="str">
        <f>VLOOKUP(C94,Products!$A$2:$H$16,3,FALSE)</f>
        <v>Jawaharlal Nehru</v>
      </c>
      <c r="H94" t="str">
        <f>VLOOKUP(C94,Products!$A$2:$H$16,4,FALSE)</f>
        <v>e-book</v>
      </c>
      <c r="I94">
        <f>VLOOKUP(C94,Products!$A$2:$H$16,5,FALSE)</f>
        <v>2005</v>
      </c>
      <c r="J94" s="29">
        <f>VLOOKUP(C94,Products!$A$2:$H$16,6,FALSE)</f>
        <v>300</v>
      </c>
      <c r="K94" s="32">
        <f>VLOOKUP(C94,Products!$A$2:$H$16,7,FALSE)</f>
        <v>0.2</v>
      </c>
      <c r="L94" s="29">
        <f>VLOOKUP(C94,Products!$A$2:$H$16,8,FALSE)</f>
        <v>360</v>
      </c>
      <c r="M94" s="41">
        <f t="shared" si="3"/>
        <v>3</v>
      </c>
      <c r="N94" s="43">
        <f t="shared" si="4"/>
        <v>4680</v>
      </c>
      <c r="O94" s="43">
        <f t="shared" si="5"/>
        <v>3900</v>
      </c>
    </row>
    <row r="95" spans="1:15" x14ac:dyDescent="0.25">
      <c r="A95" s="31">
        <v>41335</v>
      </c>
      <c r="B95" t="s">
        <v>35</v>
      </c>
      <c r="C95" s="30">
        <v>15</v>
      </c>
      <c r="D95" s="30" t="s">
        <v>38</v>
      </c>
      <c r="E95" s="30">
        <v>4</v>
      </c>
      <c r="F95" t="str">
        <f>VLOOKUP(C95,Products!$A$2:$H$16,2,FALSE)</f>
        <v>Wings of Fire</v>
      </c>
      <c r="G95" t="str">
        <f>VLOOKUP(C95,Products!$A$2:$H$16,3,FALSE)</f>
        <v>APJ Abdul Kalam,
Arun Tiwari</v>
      </c>
      <c r="H95" t="str">
        <f>VLOOKUP(C95,Products!$A$2:$H$16,4,FALSE)</f>
        <v>e-book</v>
      </c>
      <c r="I95">
        <f>VLOOKUP(C95,Products!$A$2:$H$16,5,FALSE)</f>
        <v>2005</v>
      </c>
      <c r="J95" s="29">
        <f>VLOOKUP(C95,Products!$A$2:$H$16,6,FALSE)</f>
        <v>500</v>
      </c>
      <c r="K95" s="32">
        <f>VLOOKUP(C95,Products!$A$2:$H$16,7,FALSE)</f>
        <v>0.1</v>
      </c>
      <c r="L95" s="29">
        <f>VLOOKUP(C95,Products!$A$2:$H$16,8,FALSE)</f>
        <v>550</v>
      </c>
      <c r="M95" s="41">
        <f t="shared" si="3"/>
        <v>3</v>
      </c>
      <c r="N95" s="43">
        <f t="shared" si="4"/>
        <v>2200</v>
      </c>
      <c r="O95" s="43">
        <f t="shared" si="5"/>
        <v>2000</v>
      </c>
    </row>
    <row r="96" spans="1:15" x14ac:dyDescent="0.25">
      <c r="A96" s="31">
        <v>41336</v>
      </c>
      <c r="B96" t="s">
        <v>41</v>
      </c>
      <c r="C96" s="30">
        <v>2</v>
      </c>
      <c r="D96" s="30" t="s">
        <v>38</v>
      </c>
      <c r="E96" s="30">
        <v>18</v>
      </c>
      <c r="F96" t="str">
        <f>VLOOKUP(C96,Products!$A$2:$H$16,2,FALSE)</f>
        <v>The Story of my Experiments with Truth</v>
      </c>
      <c r="G96" t="str">
        <f>VLOOKUP(C96,Products!$A$2:$H$16,3,FALSE)</f>
        <v>Mahatma Gandhi</v>
      </c>
      <c r="H96" t="str">
        <f>VLOOKUP(C96,Products!$A$2:$H$16,4,FALSE)</f>
        <v>Hard Cover</v>
      </c>
      <c r="I96">
        <f>VLOOKUP(C96,Products!$A$2:$H$16,5,FALSE)</f>
        <v>1927</v>
      </c>
      <c r="J96" s="29">
        <f>VLOOKUP(C96,Products!$A$2:$H$16,6,FALSE)</f>
        <v>159</v>
      </c>
      <c r="K96" s="32">
        <f>VLOOKUP(C96,Products!$A$2:$H$16,7,FALSE)</f>
        <v>0.3</v>
      </c>
      <c r="L96" s="29">
        <f>VLOOKUP(C96,Products!$A$2:$H$16,8,FALSE)</f>
        <v>206.7</v>
      </c>
      <c r="M96" s="41">
        <f t="shared" si="3"/>
        <v>3</v>
      </c>
      <c r="N96" s="43">
        <f t="shared" si="4"/>
        <v>3720.6</v>
      </c>
      <c r="O96" s="43">
        <f t="shared" si="5"/>
        <v>2862</v>
      </c>
    </row>
    <row r="97" spans="1:15" x14ac:dyDescent="0.25">
      <c r="A97" s="31">
        <v>41336</v>
      </c>
      <c r="B97" t="s">
        <v>42</v>
      </c>
      <c r="C97" s="30">
        <v>6</v>
      </c>
      <c r="D97" s="30" t="s">
        <v>34</v>
      </c>
      <c r="E97" s="30">
        <v>16</v>
      </c>
      <c r="F97" t="str">
        <f>VLOOKUP(C97,Products!$A$2:$H$16,2,FALSE)</f>
        <v>The Discovery of India</v>
      </c>
      <c r="G97" t="str">
        <f>VLOOKUP(C97,Products!$A$2:$H$16,3,FALSE)</f>
        <v>Jawaharlal Nehru</v>
      </c>
      <c r="H97" t="str">
        <f>VLOOKUP(C97,Products!$A$2:$H$16,4,FALSE)</f>
        <v>Soft Cover</v>
      </c>
      <c r="I97">
        <f>VLOOKUP(C97,Products!$A$2:$H$16,5,FALSE)</f>
        <v>1946</v>
      </c>
      <c r="J97" s="29">
        <f>VLOOKUP(C97,Products!$A$2:$H$16,6,FALSE)</f>
        <v>499</v>
      </c>
      <c r="K97" s="32">
        <f>VLOOKUP(C97,Products!$A$2:$H$16,7,FALSE)</f>
        <v>0.3</v>
      </c>
      <c r="L97" s="29">
        <f>VLOOKUP(C97,Products!$A$2:$H$16,8,FALSE)</f>
        <v>648.70000000000005</v>
      </c>
      <c r="M97" s="41">
        <f t="shared" si="3"/>
        <v>3</v>
      </c>
      <c r="N97" s="43">
        <f t="shared" si="4"/>
        <v>10379.200000000001</v>
      </c>
      <c r="O97" s="43">
        <f t="shared" si="5"/>
        <v>7984</v>
      </c>
    </row>
    <row r="98" spans="1:15" x14ac:dyDescent="0.25">
      <c r="A98" s="31">
        <v>41336</v>
      </c>
      <c r="B98" t="s">
        <v>37</v>
      </c>
      <c r="C98" s="30">
        <v>1</v>
      </c>
      <c r="D98" s="30" t="s">
        <v>38</v>
      </c>
      <c r="E98" s="30">
        <v>15</v>
      </c>
      <c r="F98" t="str">
        <f>VLOOKUP(C98,Products!$A$2:$H$16,2,FALSE)</f>
        <v>The Discovery of India</v>
      </c>
      <c r="G98" t="str">
        <f>VLOOKUP(C98,Products!$A$2:$H$16,3,FALSE)</f>
        <v>Jawaharlal Nehru</v>
      </c>
      <c r="H98" t="str">
        <f>VLOOKUP(C98,Products!$A$2:$H$16,4,FALSE)</f>
        <v>Hard Cover</v>
      </c>
      <c r="I98">
        <f>VLOOKUP(C98,Products!$A$2:$H$16,5,FALSE)</f>
        <v>1946</v>
      </c>
      <c r="J98" s="29">
        <f>VLOOKUP(C98,Products!$A$2:$H$16,6,FALSE)</f>
        <v>599.95000000000005</v>
      </c>
      <c r="K98" s="32">
        <f>VLOOKUP(C98,Products!$A$2:$H$16,7,FALSE)</f>
        <v>0.3</v>
      </c>
      <c r="L98" s="29">
        <f>VLOOKUP(C98,Products!$A$2:$H$16,8,FALSE)</f>
        <v>779.93500000000006</v>
      </c>
      <c r="M98" s="41">
        <f t="shared" si="3"/>
        <v>3</v>
      </c>
      <c r="N98" s="43">
        <f t="shared" si="4"/>
        <v>11699.025000000001</v>
      </c>
      <c r="O98" s="43">
        <f t="shared" si="5"/>
        <v>8999.25</v>
      </c>
    </row>
    <row r="99" spans="1:15" x14ac:dyDescent="0.25">
      <c r="A99" s="31">
        <v>41337</v>
      </c>
      <c r="B99" t="s">
        <v>42</v>
      </c>
      <c r="C99" s="30">
        <v>14</v>
      </c>
      <c r="D99" s="30" t="s">
        <v>34</v>
      </c>
      <c r="E99" s="30">
        <v>9</v>
      </c>
      <c r="F99" t="str">
        <f>VLOOKUP(C99,Products!$A$2:$H$16,2,FALSE)</f>
        <v>A Guide to Health</v>
      </c>
      <c r="G99" t="str">
        <f>VLOOKUP(C99,Products!$A$2:$H$16,3,FALSE)</f>
        <v>Mahatma Gandhi</v>
      </c>
      <c r="H99" t="str">
        <f>VLOOKUP(C99,Products!$A$2:$H$16,4,FALSE)</f>
        <v>e-book</v>
      </c>
      <c r="I99">
        <f>VLOOKUP(C99,Products!$A$2:$H$16,5,FALSE)</f>
        <v>2005</v>
      </c>
      <c r="J99" s="29">
        <f>VLOOKUP(C99,Products!$A$2:$H$16,6,FALSE)</f>
        <v>105</v>
      </c>
      <c r="K99" s="32">
        <f>VLOOKUP(C99,Products!$A$2:$H$16,7,FALSE)</f>
        <v>0.15</v>
      </c>
      <c r="L99" s="29">
        <f>VLOOKUP(C99,Products!$A$2:$H$16,8,FALSE)</f>
        <v>120.75</v>
      </c>
      <c r="M99" s="41">
        <f t="shared" si="3"/>
        <v>3</v>
      </c>
      <c r="N99" s="43">
        <f t="shared" si="4"/>
        <v>1086.75</v>
      </c>
      <c r="O99" s="43">
        <f t="shared" si="5"/>
        <v>945</v>
      </c>
    </row>
    <row r="100" spans="1:15" x14ac:dyDescent="0.25">
      <c r="A100" s="31">
        <v>41337</v>
      </c>
      <c r="B100" t="s">
        <v>42</v>
      </c>
      <c r="C100" s="30">
        <v>2</v>
      </c>
      <c r="D100" s="30" t="s">
        <v>38</v>
      </c>
      <c r="E100" s="30">
        <v>12</v>
      </c>
      <c r="F100" t="str">
        <f>VLOOKUP(C100,Products!$A$2:$H$16,2,FALSE)</f>
        <v>The Story of my Experiments with Truth</v>
      </c>
      <c r="G100" t="str">
        <f>VLOOKUP(C100,Products!$A$2:$H$16,3,FALSE)</f>
        <v>Mahatma Gandhi</v>
      </c>
      <c r="H100" t="str">
        <f>VLOOKUP(C100,Products!$A$2:$H$16,4,FALSE)</f>
        <v>Hard Cover</v>
      </c>
      <c r="I100">
        <f>VLOOKUP(C100,Products!$A$2:$H$16,5,FALSE)</f>
        <v>1927</v>
      </c>
      <c r="J100" s="29">
        <f>VLOOKUP(C100,Products!$A$2:$H$16,6,FALSE)</f>
        <v>159</v>
      </c>
      <c r="K100" s="32">
        <f>VLOOKUP(C100,Products!$A$2:$H$16,7,FALSE)</f>
        <v>0.3</v>
      </c>
      <c r="L100" s="29">
        <f>VLOOKUP(C100,Products!$A$2:$H$16,8,FALSE)</f>
        <v>206.7</v>
      </c>
      <c r="M100" s="41">
        <f t="shared" si="3"/>
        <v>3</v>
      </c>
      <c r="N100" s="43">
        <f t="shared" si="4"/>
        <v>2480.3999999999996</v>
      </c>
      <c r="O100" s="43">
        <f t="shared" si="5"/>
        <v>1908</v>
      </c>
    </row>
    <row r="101" spans="1:15" x14ac:dyDescent="0.25">
      <c r="A101" s="31">
        <v>41337</v>
      </c>
      <c r="B101" t="s">
        <v>33</v>
      </c>
      <c r="C101" s="30">
        <v>11</v>
      </c>
      <c r="D101" s="30" t="s">
        <v>38</v>
      </c>
      <c r="E101" s="30">
        <v>14</v>
      </c>
      <c r="F101" t="str">
        <f>VLOOKUP(C101,Products!$A$2:$H$16,2,FALSE)</f>
        <v>The Discovery of India</v>
      </c>
      <c r="G101" t="str">
        <f>VLOOKUP(C101,Products!$A$2:$H$16,3,FALSE)</f>
        <v>Jawaharlal Nehru</v>
      </c>
      <c r="H101" t="str">
        <f>VLOOKUP(C101,Products!$A$2:$H$16,4,FALSE)</f>
        <v>e-book</v>
      </c>
      <c r="I101">
        <f>VLOOKUP(C101,Products!$A$2:$H$16,5,FALSE)</f>
        <v>2004</v>
      </c>
      <c r="J101" s="29">
        <f>VLOOKUP(C101,Products!$A$2:$H$16,6,FALSE)</f>
        <v>250</v>
      </c>
      <c r="K101" s="32">
        <f>VLOOKUP(C101,Products!$A$2:$H$16,7,FALSE)</f>
        <v>0.3</v>
      </c>
      <c r="L101" s="29">
        <f>VLOOKUP(C101,Products!$A$2:$H$16,8,FALSE)</f>
        <v>325</v>
      </c>
      <c r="M101" s="41">
        <f t="shared" si="3"/>
        <v>3</v>
      </c>
      <c r="N101" s="43">
        <f t="shared" si="4"/>
        <v>4550</v>
      </c>
      <c r="O101" s="43">
        <f t="shared" si="5"/>
        <v>3500</v>
      </c>
    </row>
    <row r="102" spans="1:15" x14ac:dyDescent="0.25">
      <c r="A102" s="31">
        <v>41338</v>
      </c>
      <c r="B102" t="s">
        <v>41</v>
      </c>
      <c r="C102" s="30">
        <v>12</v>
      </c>
      <c r="D102" s="30" t="s">
        <v>38</v>
      </c>
      <c r="E102" s="30">
        <v>15</v>
      </c>
      <c r="F102" t="str">
        <f>VLOOKUP(C102,Products!$A$2:$H$16,2,FALSE)</f>
        <v>The Story of my Experiments with Truth</v>
      </c>
      <c r="G102" t="str">
        <f>VLOOKUP(C102,Products!$A$2:$H$16,3,FALSE)</f>
        <v>Mahatma Gandhi</v>
      </c>
      <c r="H102" t="str">
        <f>VLOOKUP(C102,Products!$A$2:$H$16,4,FALSE)</f>
        <v>e-book</v>
      </c>
      <c r="I102">
        <f>VLOOKUP(C102,Products!$A$2:$H$16,5,FALSE)</f>
        <v>2004</v>
      </c>
      <c r="J102" s="29">
        <f>VLOOKUP(C102,Products!$A$2:$H$16,6,FALSE)</f>
        <v>50</v>
      </c>
      <c r="K102" s="32">
        <f>VLOOKUP(C102,Products!$A$2:$H$16,7,FALSE)</f>
        <v>0.3</v>
      </c>
      <c r="L102" s="29">
        <f>VLOOKUP(C102,Products!$A$2:$H$16,8,FALSE)</f>
        <v>65</v>
      </c>
      <c r="M102" s="41">
        <f t="shared" si="3"/>
        <v>3</v>
      </c>
      <c r="N102" s="43">
        <f t="shared" si="4"/>
        <v>975</v>
      </c>
      <c r="O102" s="43">
        <f t="shared" si="5"/>
        <v>750</v>
      </c>
    </row>
    <row r="103" spans="1:15" x14ac:dyDescent="0.25">
      <c r="A103" s="31">
        <v>41339</v>
      </c>
      <c r="B103" t="s">
        <v>35</v>
      </c>
      <c r="C103" s="30">
        <v>4</v>
      </c>
      <c r="D103" s="30" t="s">
        <v>38</v>
      </c>
      <c r="E103" s="30">
        <v>1</v>
      </c>
      <c r="F103" t="str">
        <f>VLOOKUP(C103,Products!$A$2:$H$16,2,FALSE)</f>
        <v>A Guide to Health</v>
      </c>
      <c r="G103" t="str">
        <f>VLOOKUP(C103,Products!$A$2:$H$16,3,FALSE)</f>
        <v>Mahatma Gandhi</v>
      </c>
      <c r="H103" t="str">
        <f>VLOOKUP(C103,Products!$A$2:$H$16,4,FALSE)</f>
        <v>Hard Cover</v>
      </c>
      <c r="I103">
        <f>VLOOKUP(C103,Products!$A$2:$H$16,5,FALSE)</f>
        <v>1921</v>
      </c>
      <c r="J103" s="29">
        <f>VLOOKUP(C103,Products!$A$2:$H$16,6,FALSE)</f>
        <v>250</v>
      </c>
      <c r="K103" s="32">
        <f>VLOOKUP(C103,Products!$A$2:$H$16,7,FALSE)</f>
        <v>0.15</v>
      </c>
      <c r="L103" s="29">
        <f>VLOOKUP(C103,Products!$A$2:$H$16,8,FALSE)</f>
        <v>287.5</v>
      </c>
      <c r="M103" s="41">
        <f t="shared" si="3"/>
        <v>3</v>
      </c>
      <c r="N103" s="43">
        <f t="shared" si="4"/>
        <v>287.5</v>
      </c>
      <c r="O103" s="43">
        <f t="shared" si="5"/>
        <v>250</v>
      </c>
    </row>
    <row r="104" spans="1:15" x14ac:dyDescent="0.25">
      <c r="A104" s="31">
        <v>41339</v>
      </c>
      <c r="B104" t="s">
        <v>41</v>
      </c>
      <c r="C104" s="30">
        <v>6</v>
      </c>
      <c r="D104" s="30" t="s">
        <v>38</v>
      </c>
      <c r="E104" s="30">
        <v>4</v>
      </c>
      <c r="F104" t="str">
        <f>VLOOKUP(C104,Products!$A$2:$H$16,2,FALSE)</f>
        <v>The Discovery of India</v>
      </c>
      <c r="G104" t="str">
        <f>VLOOKUP(C104,Products!$A$2:$H$16,3,FALSE)</f>
        <v>Jawaharlal Nehru</v>
      </c>
      <c r="H104" t="str">
        <f>VLOOKUP(C104,Products!$A$2:$H$16,4,FALSE)</f>
        <v>Soft Cover</v>
      </c>
      <c r="I104">
        <f>VLOOKUP(C104,Products!$A$2:$H$16,5,FALSE)</f>
        <v>1946</v>
      </c>
      <c r="J104" s="29">
        <f>VLOOKUP(C104,Products!$A$2:$H$16,6,FALSE)</f>
        <v>499</v>
      </c>
      <c r="K104" s="32">
        <f>VLOOKUP(C104,Products!$A$2:$H$16,7,FALSE)</f>
        <v>0.3</v>
      </c>
      <c r="L104" s="29">
        <f>VLOOKUP(C104,Products!$A$2:$H$16,8,FALSE)</f>
        <v>648.70000000000005</v>
      </c>
      <c r="M104" s="41">
        <f t="shared" si="3"/>
        <v>3</v>
      </c>
      <c r="N104" s="43">
        <f t="shared" si="4"/>
        <v>2594.8000000000002</v>
      </c>
      <c r="O104" s="43">
        <f t="shared" si="5"/>
        <v>1996</v>
      </c>
    </row>
    <row r="105" spans="1:15" x14ac:dyDescent="0.25">
      <c r="A105" s="31">
        <v>41340</v>
      </c>
      <c r="B105" t="s">
        <v>41</v>
      </c>
      <c r="C105" s="30">
        <v>13</v>
      </c>
      <c r="D105" s="30" t="s">
        <v>34</v>
      </c>
      <c r="E105" s="30">
        <v>12</v>
      </c>
      <c r="F105" t="str">
        <f>VLOOKUP(C105,Products!$A$2:$H$16,2,FALSE)</f>
        <v>Glimpses of World History</v>
      </c>
      <c r="G105" t="str">
        <f>VLOOKUP(C105,Products!$A$2:$H$16,3,FALSE)</f>
        <v>Jawaharlal Nehru</v>
      </c>
      <c r="H105" t="str">
        <f>VLOOKUP(C105,Products!$A$2:$H$16,4,FALSE)</f>
        <v>e-book</v>
      </c>
      <c r="I105">
        <f>VLOOKUP(C105,Products!$A$2:$H$16,5,FALSE)</f>
        <v>2005</v>
      </c>
      <c r="J105" s="29">
        <f>VLOOKUP(C105,Products!$A$2:$H$16,6,FALSE)</f>
        <v>300</v>
      </c>
      <c r="K105" s="32">
        <f>VLOOKUP(C105,Products!$A$2:$H$16,7,FALSE)</f>
        <v>0.2</v>
      </c>
      <c r="L105" s="29">
        <f>VLOOKUP(C105,Products!$A$2:$H$16,8,FALSE)</f>
        <v>360</v>
      </c>
      <c r="M105" s="41">
        <f t="shared" si="3"/>
        <v>3</v>
      </c>
      <c r="N105" s="43">
        <f t="shared" si="4"/>
        <v>4320</v>
      </c>
      <c r="O105" s="43">
        <f t="shared" si="5"/>
        <v>3600</v>
      </c>
    </row>
    <row r="106" spans="1:15" x14ac:dyDescent="0.25">
      <c r="A106" s="31">
        <v>41342</v>
      </c>
      <c r="B106" t="s">
        <v>36</v>
      </c>
      <c r="C106" s="30">
        <v>12</v>
      </c>
      <c r="D106" s="30" t="s">
        <v>38</v>
      </c>
      <c r="E106" s="30">
        <v>2</v>
      </c>
      <c r="F106" t="str">
        <f>VLOOKUP(C106,Products!$A$2:$H$16,2,FALSE)</f>
        <v>The Story of my Experiments with Truth</v>
      </c>
      <c r="G106" t="str">
        <f>VLOOKUP(C106,Products!$A$2:$H$16,3,FALSE)</f>
        <v>Mahatma Gandhi</v>
      </c>
      <c r="H106" t="str">
        <f>VLOOKUP(C106,Products!$A$2:$H$16,4,FALSE)</f>
        <v>e-book</v>
      </c>
      <c r="I106">
        <f>VLOOKUP(C106,Products!$A$2:$H$16,5,FALSE)</f>
        <v>2004</v>
      </c>
      <c r="J106" s="29">
        <f>VLOOKUP(C106,Products!$A$2:$H$16,6,FALSE)</f>
        <v>50</v>
      </c>
      <c r="K106" s="32">
        <f>VLOOKUP(C106,Products!$A$2:$H$16,7,FALSE)</f>
        <v>0.3</v>
      </c>
      <c r="L106" s="29">
        <f>VLOOKUP(C106,Products!$A$2:$H$16,8,FALSE)</f>
        <v>65</v>
      </c>
      <c r="M106" s="41">
        <f t="shared" si="3"/>
        <v>3</v>
      </c>
      <c r="N106" s="43">
        <f t="shared" si="4"/>
        <v>130</v>
      </c>
      <c r="O106" s="43">
        <f t="shared" si="5"/>
        <v>100</v>
      </c>
    </row>
    <row r="107" spans="1:15" x14ac:dyDescent="0.25">
      <c r="A107" s="31">
        <v>41343</v>
      </c>
      <c r="B107" t="s">
        <v>42</v>
      </c>
      <c r="C107" s="30">
        <v>2</v>
      </c>
      <c r="D107" s="30" t="s">
        <v>38</v>
      </c>
      <c r="E107" s="30">
        <v>1</v>
      </c>
      <c r="F107" t="str">
        <f>VLOOKUP(C107,Products!$A$2:$H$16,2,FALSE)</f>
        <v>The Story of my Experiments with Truth</v>
      </c>
      <c r="G107" t="str">
        <f>VLOOKUP(C107,Products!$A$2:$H$16,3,FALSE)</f>
        <v>Mahatma Gandhi</v>
      </c>
      <c r="H107" t="str">
        <f>VLOOKUP(C107,Products!$A$2:$H$16,4,FALSE)</f>
        <v>Hard Cover</v>
      </c>
      <c r="I107">
        <f>VLOOKUP(C107,Products!$A$2:$H$16,5,FALSE)</f>
        <v>1927</v>
      </c>
      <c r="J107" s="29">
        <f>VLOOKUP(C107,Products!$A$2:$H$16,6,FALSE)</f>
        <v>159</v>
      </c>
      <c r="K107" s="32">
        <f>VLOOKUP(C107,Products!$A$2:$H$16,7,FALSE)</f>
        <v>0.3</v>
      </c>
      <c r="L107" s="29">
        <f>VLOOKUP(C107,Products!$A$2:$H$16,8,FALSE)</f>
        <v>206.7</v>
      </c>
      <c r="M107" s="41">
        <f t="shared" si="3"/>
        <v>3</v>
      </c>
      <c r="N107" s="43">
        <f t="shared" si="4"/>
        <v>206.7</v>
      </c>
      <c r="O107" s="43">
        <f t="shared" si="5"/>
        <v>159</v>
      </c>
    </row>
    <row r="108" spans="1:15" x14ac:dyDescent="0.25">
      <c r="A108" s="31">
        <v>41344</v>
      </c>
      <c r="B108" t="s">
        <v>42</v>
      </c>
      <c r="C108" s="30">
        <v>3</v>
      </c>
      <c r="D108" s="30" t="s">
        <v>38</v>
      </c>
      <c r="E108" s="30">
        <v>12</v>
      </c>
      <c r="F108" t="str">
        <f>VLOOKUP(C108,Products!$A$2:$H$16,2,FALSE)</f>
        <v>Glimpses of World History</v>
      </c>
      <c r="G108" t="str">
        <f>VLOOKUP(C108,Products!$A$2:$H$16,3,FALSE)</f>
        <v>Jawaharlal Nehru</v>
      </c>
      <c r="H108" t="str">
        <f>VLOOKUP(C108,Products!$A$2:$H$16,4,FALSE)</f>
        <v>Hard Cover</v>
      </c>
      <c r="I108">
        <f>VLOOKUP(C108,Products!$A$2:$H$16,5,FALSE)</f>
        <v>1934</v>
      </c>
      <c r="J108" s="29">
        <f>VLOOKUP(C108,Products!$A$2:$H$16,6,FALSE)</f>
        <v>750.45899999999995</v>
      </c>
      <c r="K108" s="32">
        <f>VLOOKUP(C108,Products!$A$2:$H$16,7,FALSE)</f>
        <v>0.2</v>
      </c>
      <c r="L108" s="29">
        <f>VLOOKUP(C108,Products!$A$2:$H$16,8,FALSE)</f>
        <v>900.55079999999998</v>
      </c>
      <c r="M108" s="41">
        <f t="shared" si="3"/>
        <v>3</v>
      </c>
      <c r="N108" s="43">
        <f t="shared" si="4"/>
        <v>10806.6096</v>
      </c>
      <c r="O108" s="43">
        <f t="shared" si="5"/>
        <v>9005.5079999999998</v>
      </c>
    </row>
    <row r="109" spans="1:15" x14ac:dyDescent="0.25">
      <c r="A109" s="31">
        <v>41344</v>
      </c>
      <c r="B109" t="s">
        <v>33</v>
      </c>
      <c r="C109" s="30">
        <v>15</v>
      </c>
      <c r="D109" s="30" t="s">
        <v>34</v>
      </c>
      <c r="E109" s="30">
        <v>7</v>
      </c>
      <c r="F109" t="str">
        <f>VLOOKUP(C109,Products!$A$2:$H$16,2,FALSE)</f>
        <v>Wings of Fire</v>
      </c>
      <c r="G109" t="str">
        <f>VLOOKUP(C109,Products!$A$2:$H$16,3,FALSE)</f>
        <v>APJ Abdul Kalam,
Arun Tiwari</v>
      </c>
      <c r="H109" t="str">
        <f>VLOOKUP(C109,Products!$A$2:$H$16,4,FALSE)</f>
        <v>e-book</v>
      </c>
      <c r="I109">
        <f>VLOOKUP(C109,Products!$A$2:$H$16,5,FALSE)</f>
        <v>2005</v>
      </c>
      <c r="J109" s="29">
        <f>VLOOKUP(C109,Products!$A$2:$H$16,6,FALSE)</f>
        <v>500</v>
      </c>
      <c r="K109" s="32">
        <f>VLOOKUP(C109,Products!$A$2:$H$16,7,FALSE)</f>
        <v>0.1</v>
      </c>
      <c r="L109" s="29">
        <f>VLOOKUP(C109,Products!$A$2:$H$16,8,FALSE)</f>
        <v>550</v>
      </c>
      <c r="M109" s="41">
        <f t="shared" si="3"/>
        <v>3</v>
      </c>
      <c r="N109" s="43">
        <f t="shared" si="4"/>
        <v>3850</v>
      </c>
      <c r="O109" s="43">
        <f t="shared" si="5"/>
        <v>3500</v>
      </c>
    </row>
    <row r="110" spans="1:15" x14ac:dyDescent="0.25">
      <c r="A110" s="31">
        <v>41344</v>
      </c>
      <c r="B110" t="s">
        <v>41</v>
      </c>
      <c r="C110" s="30">
        <v>1</v>
      </c>
      <c r="D110" s="30" t="s">
        <v>34</v>
      </c>
      <c r="E110" s="30">
        <v>2</v>
      </c>
      <c r="F110" t="str">
        <f>VLOOKUP(C110,Products!$A$2:$H$16,2,FALSE)</f>
        <v>The Discovery of India</v>
      </c>
      <c r="G110" t="str">
        <f>VLOOKUP(C110,Products!$A$2:$H$16,3,FALSE)</f>
        <v>Jawaharlal Nehru</v>
      </c>
      <c r="H110" t="str">
        <f>VLOOKUP(C110,Products!$A$2:$H$16,4,FALSE)</f>
        <v>Hard Cover</v>
      </c>
      <c r="I110">
        <f>VLOOKUP(C110,Products!$A$2:$H$16,5,FALSE)</f>
        <v>1946</v>
      </c>
      <c r="J110" s="29">
        <f>VLOOKUP(C110,Products!$A$2:$H$16,6,FALSE)</f>
        <v>599.95000000000005</v>
      </c>
      <c r="K110" s="32">
        <f>VLOOKUP(C110,Products!$A$2:$H$16,7,FALSE)</f>
        <v>0.3</v>
      </c>
      <c r="L110" s="29">
        <f>VLOOKUP(C110,Products!$A$2:$H$16,8,FALSE)</f>
        <v>779.93500000000006</v>
      </c>
      <c r="M110" s="41">
        <f t="shared" si="3"/>
        <v>3</v>
      </c>
      <c r="N110" s="43">
        <f t="shared" si="4"/>
        <v>1559.8700000000001</v>
      </c>
      <c r="O110" s="43">
        <f t="shared" si="5"/>
        <v>1199.9000000000001</v>
      </c>
    </row>
    <row r="111" spans="1:15" x14ac:dyDescent="0.25">
      <c r="A111" s="31">
        <v>41345</v>
      </c>
      <c r="B111" t="s">
        <v>39</v>
      </c>
      <c r="C111" s="30">
        <v>8</v>
      </c>
      <c r="D111" s="30" t="s">
        <v>38</v>
      </c>
      <c r="E111" s="30">
        <v>9</v>
      </c>
      <c r="F111" t="str">
        <f>VLOOKUP(C111,Products!$A$2:$H$16,2,FALSE)</f>
        <v>Glimpses of World History</v>
      </c>
      <c r="G111" t="str">
        <f>VLOOKUP(C111,Products!$A$2:$H$16,3,FALSE)</f>
        <v>Jawaharlal Nehru</v>
      </c>
      <c r="H111" t="str">
        <f>VLOOKUP(C111,Products!$A$2:$H$16,4,FALSE)</f>
        <v>Soft Cover</v>
      </c>
      <c r="I111">
        <f>VLOOKUP(C111,Products!$A$2:$H$16,5,FALSE)</f>
        <v>1934</v>
      </c>
      <c r="J111" s="29">
        <f>VLOOKUP(C111,Products!$A$2:$H$16,6,FALSE)</f>
        <v>650</v>
      </c>
      <c r="K111" s="32">
        <f>VLOOKUP(C111,Products!$A$2:$H$16,7,FALSE)</f>
        <v>0.2</v>
      </c>
      <c r="L111" s="29">
        <f>VLOOKUP(C111,Products!$A$2:$H$16,8,FALSE)</f>
        <v>780</v>
      </c>
      <c r="M111" s="41">
        <f t="shared" si="3"/>
        <v>3</v>
      </c>
      <c r="N111" s="43">
        <f t="shared" si="4"/>
        <v>7020</v>
      </c>
      <c r="O111" s="43">
        <f t="shared" si="5"/>
        <v>5850</v>
      </c>
    </row>
    <row r="112" spans="1:15" x14ac:dyDescent="0.25">
      <c r="A112" s="31">
        <v>41348</v>
      </c>
      <c r="B112" t="s">
        <v>41</v>
      </c>
      <c r="C112" s="30">
        <v>14</v>
      </c>
      <c r="D112" s="30" t="s">
        <v>34</v>
      </c>
      <c r="E112" s="30">
        <v>9</v>
      </c>
      <c r="F112" t="str">
        <f>VLOOKUP(C112,Products!$A$2:$H$16,2,FALSE)</f>
        <v>A Guide to Health</v>
      </c>
      <c r="G112" t="str">
        <f>VLOOKUP(C112,Products!$A$2:$H$16,3,FALSE)</f>
        <v>Mahatma Gandhi</v>
      </c>
      <c r="H112" t="str">
        <f>VLOOKUP(C112,Products!$A$2:$H$16,4,FALSE)</f>
        <v>e-book</v>
      </c>
      <c r="I112">
        <f>VLOOKUP(C112,Products!$A$2:$H$16,5,FALSE)</f>
        <v>2005</v>
      </c>
      <c r="J112" s="29">
        <f>VLOOKUP(C112,Products!$A$2:$H$16,6,FALSE)</f>
        <v>105</v>
      </c>
      <c r="K112" s="32">
        <f>VLOOKUP(C112,Products!$A$2:$H$16,7,FALSE)</f>
        <v>0.15</v>
      </c>
      <c r="L112" s="29">
        <f>VLOOKUP(C112,Products!$A$2:$H$16,8,FALSE)</f>
        <v>120.75</v>
      </c>
      <c r="M112" s="41">
        <f t="shared" si="3"/>
        <v>3</v>
      </c>
      <c r="N112" s="43">
        <f t="shared" si="4"/>
        <v>1086.75</v>
      </c>
      <c r="O112" s="43">
        <f t="shared" si="5"/>
        <v>945</v>
      </c>
    </row>
    <row r="113" spans="1:15" x14ac:dyDescent="0.25">
      <c r="A113" s="31">
        <v>41348</v>
      </c>
      <c r="B113" t="s">
        <v>41</v>
      </c>
      <c r="C113" s="30">
        <v>12</v>
      </c>
      <c r="D113" s="30" t="s">
        <v>34</v>
      </c>
      <c r="E113" s="30">
        <v>19</v>
      </c>
      <c r="F113" t="str">
        <f>VLOOKUP(C113,Products!$A$2:$H$16,2,FALSE)</f>
        <v>The Story of my Experiments with Truth</v>
      </c>
      <c r="G113" t="str">
        <f>VLOOKUP(C113,Products!$A$2:$H$16,3,FALSE)</f>
        <v>Mahatma Gandhi</v>
      </c>
      <c r="H113" t="str">
        <f>VLOOKUP(C113,Products!$A$2:$H$16,4,FALSE)</f>
        <v>e-book</v>
      </c>
      <c r="I113">
        <f>VLOOKUP(C113,Products!$A$2:$H$16,5,FALSE)</f>
        <v>2004</v>
      </c>
      <c r="J113" s="29">
        <f>VLOOKUP(C113,Products!$A$2:$H$16,6,FALSE)</f>
        <v>50</v>
      </c>
      <c r="K113" s="32">
        <f>VLOOKUP(C113,Products!$A$2:$H$16,7,FALSE)</f>
        <v>0.3</v>
      </c>
      <c r="L113" s="29">
        <f>VLOOKUP(C113,Products!$A$2:$H$16,8,FALSE)</f>
        <v>65</v>
      </c>
      <c r="M113" s="41">
        <f t="shared" si="3"/>
        <v>3</v>
      </c>
      <c r="N113" s="43">
        <f t="shared" si="4"/>
        <v>1235</v>
      </c>
      <c r="O113" s="43">
        <f t="shared" si="5"/>
        <v>950</v>
      </c>
    </row>
    <row r="114" spans="1:15" x14ac:dyDescent="0.25">
      <c r="A114" s="31">
        <v>41350</v>
      </c>
      <c r="B114" t="s">
        <v>33</v>
      </c>
      <c r="C114" s="30">
        <v>1</v>
      </c>
      <c r="D114" s="30" t="s">
        <v>38</v>
      </c>
      <c r="E114" s="30">
        <v>15</v>
      </c>
      <c r="F114" t="str">
        <f>VLOOKUP(C114,Products!$A$2:$H$16,2,FALSE)</f>
        <v>The Discovery of India</v>
      </c>
      <c r="G114" t="str">
        <f>VLOOKUP(C114,Products!$A$2:$H$16,3,FALSE)</f>
        <v>Jawaharlal Nehru</v>
      </c>
      <c r="H114" t="str">
        <f>VLOOKUP(C114,Products!$A$2:$H$16,4,FALSE)</f>
        <v>Hard Cover</v>
      </c>
      <c r="I114">
        <f>VLOOKUP(C114,Products!$A$2:$H$16,5,FALSE)</f>
        <v>1946</v>
      </c>
      <c r="J114" s="29">
        <f>VLOOKUP(C114,Products!$A$2:$H$16,6,FALSE)</f>
        <v>599.95000000000005</v>
      </c>
      <c r="K114" s="32">
        <f>VLOOKUP(C114,Products!$A$2:$H$16,7,FALSE)</f>
        <v>0.3</v>
      </c>
      <c r="L114" s="29">
        <f>VLOOKUP(C114,Products!$A$2:$H$16,8,FALSE)</f>
        <v>779.93500000000006</v>
      </c>
      <c r="M114" s="41">
        <f t="shared" si="3"/>
        <v>3</v>
      </c>
      <c r="N114" s="43">
        <f t="shared" si="4"/>
        <v>11699.025000000001</v>
      </c>
      <c r="O114" s="43">
        <f t="shared" si="5"/>
        <v>8999.25</v>
      </c>
    </row>
    <row r="115" spans="1:15" x14ac:dyDescent="0.25">
      <c r="A115" s="31">
        <v>41351</v>
      </c>
      <c r="B115" t="s">
        <v>35</v>
      </c>
      <c r="C115" s="30">
        <v>3</v>
      </c>
      <c r="D115" s="30" t="s">
        <v>34</v>
      </c>
      <c r="E115" s="30">
        <v>5</v>
      </c>
      <c r="F115" t="str">
        <f>VLOOKUP(C115,Products!$A$2:$H$16,2,FALSE)</f>
        <v>Glimpses of World History</v>
      </c>
      <c r="G115" t="str">
        <f>VLOOKUP(C115,Products!$A$2:$H$16,3,FALSE)</f>
        <v>Jawaharlal Nehru</v>
      </c>
      <c r="H115" t="str">
        <f>VLOOKUP(C115,Products!$A$2:$H$16,4,FALSE)</f>
        <v>Hard Cover</v>
      </c>
      <c r="I115">
        <f>VLOOKUP(C115,Products!$A$2:$H$16,5,FALSE)</f>
        <v>1934</v>
      </c>
      <c r="J115" s="29">
        <f>VLOOKUP(C115,Products!$A$2:$H$16,6,FALSE)</f>
        <v>750.45899999999995</v>
      </c>
      <c r="K115" s="32">
        <f>VLOOKUP(C115,Products!$A$2:$H$16,7,FALSE)</f>
        <v>0.2</v>
      </c>
      <c r="L115" s="29">
        <f>VLOOKUP(C115,Products!$A$2:$H$16,8,FALSE)</f>
        <v>900.55079999999998</v>
      </c>
      <c r="M115" s="41">
        <f t="shared" si="3"/>
        <v>3</v>
      </c>
      <c r="N115" s="43">
        <f t="shared" si="4"/>
        <v>4502.7539999999999</v>
      </c>
      <c r="O115" s="43">
        <f t="shared" si="5"/>
        <v>3752.2949999999996</v>
      </c>
    </row>
    <row r="116" spans="1:15" x14ac:dyDescent="0.25">
      <c r="A116" s="31">
        <v>41351</v>
      </c>
      <c r="B116" t="s">
        <v>41</v>
      </c>
      <c r="C116" s="30">
        <v>10</v>
      </c>
      <c r="D116" s="30" t="s">
        <v>34</v>
      </c>
      <c r="E116" s="30">
        <v>3</v>
      </c>
      <c r="F116" t="str">
        <f>VLOOKUP(C116,Products!$A$2:$H$16,2,FALSE)</f>
        <v>Wings of Fire</v>
      </c>
      <c r="G116" t="str">
        <f>VLOOKUP(C116,Products!$A$2:$H$16,3,FALSE)</f>
        <v>APJ Abdul Kalam,
Arun Tiwari</v>
      </c>
      <c r="H116" t="str">
        <f>VLOOKUP(C116,Products!$A$2:$H$16,4,FALSE)</f>
        <v>Soft Cover</v>
      </c>
      <c r="I116">
        <f>VLOOKUP(C116,Products!$A$2:$H$16,5,FALSE)</f>
        <v>1999</v>
      </c>
      <c r="J116" s="29">
        <f>VLOOKUP(C116,Products!$A$2:$H$16,6,FALSE)</f>
        <v>1200</v>
      </c>
      <c r="K116" s="32">
        <f>VLOOKUP(C116,Products!$A$2:$H$16,7,FALSE)</f>
        <v>0.1</v>
      </c>
      <c r="L116" s="29">
        <f>VLOOKUP(C116,Products!$A$2:$H$16,8,FALSE)</f>
        <v>1320</v>
      </c>
      <c r="M116" s="41">
        <f t="shared" si="3"/>
        <v>3</v>
      </c>
      <c r="N116" s="43">
        <f t="shared" si="4"/>
        <v>3960</v>
      </c>
      <c r="O116" s="43">
        <f t="shared" si="5"/>
        <v>3600</v>
      </c>
    </row>
    <row r="117" spans="1:15" x14ac:dyDescent="0.25">
      <c r="A117" s="31">
        <v>41352</v>
      </c>
      <c r="B117" t="s">
        <v>41</v>
      </c>
      <c r="C117" s="30">
        <v>1</v>
      </c>
      <c r="D117" s="30" t="s">
        <v>34</v>
      </c>
      <c r="E117" s="30">
        <v>2</v>
      </c>
      <c r="F117" t="str">
        <f>VLOOKUP(C117,Products!$A$2:$H$16,2,FALSE)</f>
        <v>The Discovery of India</v>
      </c>
      <c r="G117" t="str">
        <f>VLOOKUP(C117,Products!$A$2:$H$16,3,FALSE)</f>
        <v>Jawaharlal Nehru</v>
      </c>
      <c r="H117" t="str">
        <f>VLOOKUP(C117,Products!$A$2:$H$16,4,FALSE)</f>
        <v>Hard Cover</v>
      </c>
      <c r="I117">
        <f>VLOOKUP(C117,Products!$A$2:$H$16,5,FALSE)</f>
        <v>1946</v>
      </c>
      <c r="J117" s="29">
        <f>VLOOKUP(C117,Products!$A$2:$H$16,6,FALSE)</f>
        <v>599.95000000000005</v>
      </c>
      <c r="K117" s="32">
        <f>VLOOKUP(C117,Products!$A$2:$H$16,7,FALSE)</f>
        <v>0.3</v>
      </c>
      <c r="L117" s="29">
        <f>VLOOKUP(C117,Products!$A$2:$H$16,8,FALSE)</f>
        <v>779.93500000000006</v>
      </c>
      <c r="M117" s="41">
        <f t="shared" si="3"/>
        <v>3</v>
      </c>
      <c r="N117" s="43">
        <f t="shared" si="4"/>
        <v>1559.8700000000001</v>
      </c>
      <c r="O117" s="43">
        <f t="shared" si="5"/>
        <v>1199.9000000000001</v>
      </c>
    </row>
    <row r="118" spans="1:15" x14ac:dyDescent="0.25">
      <c r="A118" s="31">
        <v>41353</v>
      </c>
      <c r="B118" t="s">
        <v>40</v>
      </c>
      <c r="C118" s="30">
        <v>14</v>
      </c>
      <c r="D118" s="30" t="s">
        <v>34</v>
      </c>
      <c r="E118" s="30">
        <v>3</v>
      </c>
      <c r="F118" t="str">
        <f>VLOOKUP(C118,Products!$A$2:$H$16,2,FALSE)</f>
        <v>A Guide to Health</v>
      </c>
      <c r="G118" t="str">
        <f>VLOOKUP(C118,Products!$A$2:$H$16,3,FALSE)</f>
        <v>Mahatma Gandhi</v>
      </c>
      <c r="H118" t="str">
        <f>VLOOKUP(C118,Products!$A$2:$H$16,4,FALSE)</f>
        <v>e-book</v>
      </c>
      <c r="I118">
        <f>VLOOKUP(C118,Products!$A$2:$H$16,5,FALSE)</f>
        <v>2005</v>
      </c>
      <c r="J118" s="29">
        <f>VLOOKUP(C118,Products!$A$2:$H$16,6,FALSE)</f>
        <v>105</v>
      </c>
      <c r="K118" s="32">
        <f>VLOOKUP(C118,Products!$A$2:$H$16,7,FALSE)</f>
        <v>0.15</v>
      </c>
      <c r="L118" s="29">
        <f>VLOOKUP(C118,Products!$A$2:$H$16,8,FALSE)</f>
        <v>120.75</v>
      </c>
      <c r="M118" s="41">
        <f t="shared" si="3"/>
        <v>3</v>
      </c>
      <c r="N118" s="43">
        <f t="shared" si="4"/>
        <v>362.25</v>
      </c>
      <c r="O118" s="43">
        <f t="shared" si="5"/>
        <v>315</v>
      </c>
    </row>
    <row r="119" spans="1:15" x14ac:dyDescent="0.25">
      <c r="A119" s="31">
        <v>41353</v>
      </c>
      <c r="B119" t="s">
        <v>42</v>
      </c>
      <c r="C119" s="30">
        <v>6</v>
      </c>
      <c r="D119" s="30" t="s">
        <v>34</v>
      </c>
      <c r="E119" s="30">
        <v>8</v>
      </c>
      <c r="F119" t="str">
        <f>VLOOKUP(C119,Products!$A$2:$H$16,2,FALSE)</f>
        <v>The Discovery of India</v>
      </c>
      <c r="G119" t="str">
        <f>VLOOKUP(C119,Products!$A$2:$H$16,3,FALSE)</f>
        <v>Jawaharlal Nehru</v>
      </c>
      <c r="H119" t="str">
        <f>VLOOKUP(C119,Products!$A$2:$H$16,4,FALSE)</f>
        <v>Soft Cover</v>
      </c>
      <c r="I119">
        <f>VLOOKUP(C119,Products!$A$2:$H$16,5,FALSE)</f>
        <v>1946</v>
      </c>
      <c r="J119" s="29">
        <f>VLOOKUP(C119,Products!$A$2:$H$16,6,FALSE)</f>
        <v>499</v>
      </c>
      <c r="K119" s="32">
        <f>VLOOKUP(C119,Products!$A$2:$H$16,7,FALSE)</f>
        <v>0.3</v>
      </c>
      <c r="L119" s="29">
        <f>VLOOKUP(C119,Products!$A$2:$H$16,8,FALSE)</f>
        <v>648.70000000000005</v>
      </c>
      <c r="M119" s="41">
        <f t="shared" si="3"/>
        <v>3</v>
      </c>
      <c r="N119" s="43">
        <f t="shared" si="4"/>
        <v>5189.6000000000004</v>
      </c>
      <c r="O119" s="43">
        <f t="shared" si="5"/>
        <v>3992</v>
      </c>
    </row>
    <row r="120" spans="1:15" x14ac:dyDescent="0.25">
      <c r="A120" s="31">
        <v>41353</v>
      </c>
      <c r="B120" t="s">
        <v>41</v>
      </c>
      <c r="C120" s="30">
        <v>3</v>
      </c>
      <c r="D120" s="30" t="s">
        <v>38</v>
      </c>
      <c r="E120" s="30">
        <v>4</v>
      </c>
      <c r="F120" t="str">
        <f>VLOOKUP(C120,Products!$A$2:$H$16,2,FALSE)</f>
        <v>Glimpses of World History</v>
      </c>
      <c r="G120" t="str">
        <f>VLOOKUP(C120,Products!$A$2:$H$16,3,FALSE)</f>
        <v>Jawaharlal Nehru</v>
      </c>
      <c r="H120" t="str">
        <f>VLOOKUP(C120,Products!$A$2:$H$16,4,FALSE)</f>
        <v>Hard Cover</v>
      </c>
      <c r="I120">
        <f>VLOOKUP(C120,Products!$A$2:$H$16,5,FALSE)</f>
        <v>1934</v>
      </c>
      <c r="J120" s="29">
        <f>VLOOKUP(C120,Products!$A$2:$H$16,6,FALSE)</f>
        <v>750.45899999999995</v>
      </c>
      <c r="K120" s="32">
        <f>VLOOKUP(C120,Products!$A$2:$H$16,7,FALSE)</f>
        <v>0.2</v>
      </c>
      <c r="L120" s="29">
        <f>VLOOKUP(C120,Products!$A$2:$H$16,8,FALSE)</f>
        <v>900.55079999999998</v>
      </c>
      <c r="M120" s="41">
        <f t="shared" si="3"/>
        <v>3</v>
      </c>
      <c r="N120" s="43">
        <f t="shared" si="4"/>
        <v>3602.2031999999999</v>
      </c>
      <c r="O120" s="43">
        <f t="shared" si="5"/>
        <v>3001.8359999999998</v>
      </c>
    </row>
    <row r="121" spans="1:15" x14ac:dyDescent="0.25">
      <c r="A121" s="31">
        <v>41353</v>
      </c>
      <c r="B121" t="s">
        <v>39</v>
      </c>
      <c r="C121" s="30">
        <v>2</v>
      </c>
      <c r="D121" s="30" t="s">
        <v>34</v>
      </c>
      <c r="E121" s="30">
        <v>9</v>
      </c>
      <c r="F121" t="str">
        <f>VLOOKUP(C121,Products!$A$2:$H$16,2,FALSE)</f>
        <v>The Story of my Experiments with Truth</v>
      </c>
      <c r="G121" t="str">
        <f>VLOOKUP(C121,Products!$A$2:$H$16,3,FALSE)</f>
        <v>Mahatma Gandhi</v>
      </c>
      <c r="H121" t="str">
        <f>VLOOKUP(C121,Products!$A$2:$H$16,4,FALSE)</f>
        <v>Hard Cover</v>
      </c>
      <c r="I121">
        <f>VLOOKUP(C121,Products!$A$2:$H$16,5,FALSE)</f>
        <v>1927</v>
      </c>
      <c r="J121" s="29">
        <f>VLOOKUP(C121,Products!$A$2:$H$16,6,FALSE)</f>
        <v>159</v>
      </c>
      <c r="K121" s="32">
        <f>VLOOKUP(C121,Products!$A$2:$H$16,7,FALSE)</f>
        <v>0.3</v>
      </c>
      <c r="L121" s="29">
        <f>VLOOKUP(C121,Products!$A$2:$H$16,8,FALSE)</f>
        <v>206.7</v>
      </c>
      <c r="M121" s="41">
        <f t="shared" si="3"/>
        <v>3</v>
      </c>
      <c r="N121" s="43">
        <f t="shared" si="4"/>
        <v>1860.3</v>
      </c>
      <c r="O121" s="43">
        <f t="shared" si="5"/>
        <v>1431</v>
      </c>
    </row>
    <row r="122" spans="1:15" x14ac:dyDescent="0.25">
      <c r="A122" s="31">
        <v>41354</v>
      </c>
      <c r="B122" t="s">
        <v>41</v>
      </c>
      <c r="C122" s="30">
        <v>2</v>
      </c>
      <c r="D122" s="30" t="s">
        <v>38</v>
      </c>
      <c r="E122" s="30">
        <v>10</v>
      </c>
      <c r="F122" t="str">
        <f>VLOOKUP(C122,Products!$A$2:$H$16,2,FALSE)</f>
        <v>The Story of my Experiments with Truth</v>
      </c>
      <c r="G122" t="str">
        <f>VLOOKUP(C122,Products!$A$2:$H$16,3,FALSE)</f>
        <v>Mahatma Gandhi</v>
      </c>
      <c r="H122" t="str">
        <f>VLOOKUP(C122,Products!$A$2:$H$16,4,FALSE)</f>
        <v>Hard Cover</v>
      </c>
      <c r="I122">
        <f>VLOOKUP(C122,Products!$A$2:$H$16,5,FALSE)</f>
        <v>1927</v>
      </c>
      <c r="J122" s="29">
        <f>VLOOKUP(C122,Products!$A$2:$H$16,6,FALSE)</f>
        <v>159</v>
      </c>
      <c r="K122" s="32">
        <f>VLOOKUP(C122,Products!$A$2:$H$16,7,FALSE)</f>
        <v>0.3</v>
      </c>
      <c r="L122" s="29">
        <f>VLOOKUP(C122,Products!$A$2:$H$16,8,FALSE)</f>
        <v>206.7</v>
      </c>
      <c r="M122" s="41">
        <f t="shared" si="3"/>
        <v>3</v>
      </c>
      <c r="N122" s="43">
        <f t="shared" si="4"/>
        <v>2067</v>
      </c>
      <c r="O122" s="43">
        <f t="shared" si="5"/>
        <v>1590</v>
      </c>
    </row>
    <row r="123" spans="1:15" x14ac:dyDescent="0.25">
      <c r="A123" s="31">
        <v>41355</v>
      </c>
      <c r="B123" t="s">
        <v>33</v>
      </c>
      <c r="C123" s="30">
        <v>2</v>
      </c>
      <c r="D123" s="30" t="s">
        <v>34</v>
      </c>
      <c r="E123" s="30">
        <v>12</v>
      </c>
      <c r="F123" t="str">
        <f>VLOOKUP(C123,Products!$A$2:$H$16,2,FALSE)</f>
        <v>The Story of my Experiments with Truth</v>
      </c>
      <c r="G123" t="str">
        <f>VLOOKUP(C123,Products!$A$2:$H$16,3,FALSE)</f>
        <v>Mahatma Gandhi</v>
      </c>
      <c r="H123" t="str">
        <f>VLOOKUP(C123,Products!$A$2:$H$16,4,FALSE)</f>
        <v>Hard Cover</v>
      </c>
      <c r="I123">
        <f>VLOOKUP(C123,Products!$A$2:$H$16,5,FALSE)</f>
        <v>1927</v>
      </c>
      <c r="J123" s="29">
        <f>VLOOKUP(C123,Products!$A$2:$H$16,6,FALSE)</f>
        <v>159</v>
      </c>
      <c r="K123" s="32">
        <f>VLOOKUP(C123,Products!$A$2:$H$16,7,FALSE)</f>
        <v>0.3</v>
      </c>
      <c r="L123" s="29">
        <f>VLOOKUP(C123,Products!$A$2:$H$16,8,FALSE)</f>
        <v>206.7</v>
      </c>
      <c r="M123" s="41">
        <f t="shared" si="3"/>
        <v>3</v>
      </c>
      <c r="N123" s="43">
        <f t="shared" si="4"/>
        <v>2480.3999999999996</v>
      </c>
      <c r="O123" s="43">
        <f t="shared" si="5"/>
        <v>1908</v>
      </c>
    </row>
    <row r="124" spans="1:15" x14ac:dyDescent="0.25">
      <c r="A124" s="31">
        <v>41355</v>
      </c>
      <c r="B124" t="s">
        <v>40</v>
      </c>
      <c r="C124" s="30">
        <v>10</v>
      </c>
      <c r="D124" s="30" t="s">
        <v>34</v>
      </c>
      <c r="E124" s="30">
        <v>12</v>
      </c>
      <c r="F124" t="str">
        <f>VLOOKUP(C124,Products!$A$2:$H$16,2,FALSE)</f>
        <v>Wings of Fire</v>
      </c>
      <c r="G124" t="str">
        <f>VLOOKUP(C124,Products!$A$2:$H$16,3,FALSE)</f>
        <v>APJ Abdul Kalam,
Arun Tiwari</v>
      </c>
      <c r="H124" t="str">
        <f>VLOOKUP(C124,Products!$A$2:$H$16,4,FALSE)</f>
        <v>Soft Cover</v>
      </c>
      <c r="I124">
        <f>VLOOKUP(C124,Products!$A$2:$H$16,5,FALSE)</f>
        <v>1999</v>
      </c>
      <c r="J124" s="29">
        <f>VLOOKUP(C124,Products!$A$2:$H$16,6,FALSE)</f>
        <v>1200</v>
      </c>
      <c r="K124" s="32">
        <f>VLOOKUP(C124,Products!$A$2:$H$16,7,FALSE)</f>
        <v>0.1</v>
      </c>
      <c r="L124" s="29">
        <f>VLOOKUP(C124,Products!$A$2:$H$16,8,FALSE)</f>
        <v>1320</v>
      </c>
      <c r="M124" s="41">
        <f t="shared" si="3"/>
        <v>3</v>
      </c>
      <c r="N124" s="43">
        <f t="shared" si="4"/>
        <v>15840</v>
      </c>
      <c r="O124" s="43">
        <f t="shared" si="5"/>
        <v>14400</v>
      </c>
    </row>
    <row r="125" spans="1:15" x14ac:dyDescent="0.25">
      <c r="A125" s="31">
        <v>41355</v>
      </c>
      <c r="B125" t="s">
        <v>33</v>
      </c>
      <c r="C125" s="30">
        <v>11</v>
      </c>
      <c r="D125" s="30" t="s">
        <v>34</v>
      </c>
      <c r="E125" s="30">
        <v>13</v>
      </c>
      <c r="F125" t="str">
        <f>VLOOKUP(C125,Products!$A$2:$H$16,2,FALSE)</f>
        <v>The Discovery of India</v>
      </c>
      <c r="G125" t="str">
        <f>VLOOKUP(C125,Products!$A$2:$H$16,3,FALSE)</f>
        <v>Jawaharlal Nehru</v>
      </c>
      <c r="H125" t="str">
        <f>VLOOKUP(C125,Products!$A$2:$H$16,4,FALSE)</f>
        <v>e-book</v>
      </c>
      <c r="I125">
        <f>VLOOKUP(C125,Products!$A$2:$H$16,5,FALSE)</f>
        <v>2004</v>
      </c>
      <c r="J125" s="29">
        <f>VLOOKUP(C125,Products!$A$2:$H$16,6,FALSE)</f>
        <v>250</v>
      </c>
      <c r="K125" s="32">
        <f>VLOOKUP(C125,Products!$A$2:$H$16,7,FALSE)</f>
        <v>0.3</v>
      </c>
      <c r="L125" s="29">
        <f>VLOOKUP(C125,Products!$A$2:$H$16,8,FALSE)</f>
        <v>325</v>
      </c>
      <c r="M125" s="41">
        <f t="shared" si="3"/>
        <v>3</v>
      </c>
      <c r="N125" s="43">
        <f t="shared" si="4"/>
        <v>4225</v>
      </c>
      <c r="O125" s="43">
        <f t="shared" si="5"/>
        <v>3250</v>
      </c>
    </row>
    <row r="126" spans="1:15" x14ac:dyDescent="0.25">
      <c r="A126" s="31">
        <v>41355</v>
      </c>
      <c r="B126" t="s">
        <v>35</v>
      </c>
      <c r="C126" s="30">
        <v>11</v>
      </c>
      <c r="D126" s="30" t="s">
        <v>38</v>
      </c>
      <c r="E126" s="30">
        <v>1</v>
      </c>
      <c r="F126" t="str">
        <f>VLOOKUP(C126,Products!$A$2:$H$16,2,FALSE)</f>
        <v>The Discovery of India</v>
      </c>
      <c r="G126" t="str">
        <f>VLOOKUP(C126,Products!$A$2:$H$16,3,FALSE)</f>
        <v>Jawaharlal Nehru</v>
      </c>
      <c r="H126" t="str">
        <f>VLOOKUP(C126,Products!$A$2:$H$16,4,FALSE)</f>
        <v>e-book</v>
      </c>
      <c r="I126">
        <f>VLOOKUP(C126,Products!$A$2:$H$16,5,FALSE)</f>
        <v>2004</v>
      </c>
      <c r="J126" s="29">
        <f>VLOOKUP(C126,Products!$A$2:$H$16,6,FALSE)</f>
        <v>250</v>
      </c>
      <c r="K126" s="32">
        <f>VLOOKUP(C126,Products!$A$2:$H$16,7,FALSE)</f>
        <v>0.3</v>
      </c>
      <c r="L126" s="29">
        <f>VLOOKUP(C126,Products!$A$2:$H$16,8,FALSE)</f>
        <v>325</v>
      </c>
      <c r="M126" s="41">
        <f t="shared" si="3"/>
        <v>3</v>
      </c>
      <c r="N126" s="43">
        <f t="shared" si="4"/>
        <v>325</v>
      </c>
      <c r="O126" s="43">
        <f t="shared" si="5"/>
        <v>250</v>
      </c>
    </row>
    <row r="127" spans="1:15" x14ac:dyDescent="0.25">
      <c r="A127" s="31">
        <v>41355</v>
      </c>
      <c r="B127" t="s">
        <v>39</v>
      </c>
      <c r="C127" s="30">
        <v>2</v>
      </c>
      <c r="D127" s="30" t="s">
        <v>34</v>
      </c>
      <c r="E127" s="30">
        <v>14</v>
      </c>
      <c r="F127" t="str">
        <f>VLOOKUP(C127,Products!$A$2:$H$16,2,FALSE)</f>
        <v>The Story of my Experiments with Truth</v>
      </c>
      <c r="G127" t="str">
        <f>VLOOKUP(C127,Products!$A$2:$H$16,3,FALSE)</f>
        <v>Mahatma Gandhi</v>
      </c>
      <c r="H127" t="str">
        <f>VLOOKUP(C127,Products!$A$2:$H$16,4,FALSE)</f>
        <v>Hard Cover</v>
      </c>
      <c r="I127">
        <f>VLOOKUP(C127,Products!$A$2:$H$16,5,FALSE)</f>
        <v>1927</v>
      </c>
      <c r="J127" s="29">
        <f>VLOOKUP(C127,Products!$A$2:$H$16,6,FALSE)</f>
        <v>159</v>
      </c>
      <c r="K127" s="32">
        <f>VLOOKUP(C127,Products!$A$2:$H$16,7,FALSE)</f>
        <v>0.3</v>
      </c>
      <c r="L127" s="29">
        <f>VLOOKUP(C127,Products!$A$2:$H$16,8,FALSE)</f>
        <v>206.7</v>
      </c>
      <c r="M127" s="41">
        <f t="shared" si="3"/>
        <v>3</v>
      </c>
      <c r="N127" s="43">
        <f t="shared" si="4"/>
        <v>2893.7999999999997</v>
      </c>
      <c r="O127" s="43">
        <f t="shared" si="5"/>
        <v>2226</v>
      </c>
    </row>
    <row r="128" spans="1:15" x14ac:dyDescent="0.25">
      <c r="A128" s="31">
        <v>41355</v>
      </c>
      <c r="B128" t="s">
        <v>37</v>
      </c>
      <c r="C128" s="30">
        <v>8</v>
      </c>
      <c r="D128" s="30" t="s">
        <v>34</v>
      </c>
      <c r="E128" s="30">
        <v>4</v>
      </c>
      <c r="F128" t="str">
        <f>VLOOKUP(C128,Products!$A$2:$H$16,2,FALSE)</f>
        <v>Glimpses of World History</v>
      </c>
      <c r="G128" t="str">
        <f>VLOOKUP(C128,Products!$A$2:$H$16,3,FALSE)</f>
        <v>Jawaharlal Nehru</v>
      </c>
      <c r="H128" t="str">
        <f>VLOOKUP(C128,Products!$A$2:$H$16,4,FALSE)</f>
        <v>Soft Cover</v>
      </c>
      <c r="I128">
        <f>VLOOKUP(C128,Products!$A$2:$H$16,5,FALSE)</f>
        <v>1934</v>
      </c>
      <c r="J128" s="29">
        <f>VLOOKUP(C128,Products!$A$2:$H$16,6,FALSE)</f>
        <v>650</v>
      </c>
      <c r="K128" s="32">
        <f>VLOOKUP(C128,Products!$A$2:$H$16,7,FALSE)</f>
        <v>0.2</v>
      </c>
      <c r="L128" s="29">
        <f>VLOOKUP(C128,Products!$A$2:$H$16,8,FALSE)</f>
        <v>780</v>
      </c>
      <c r="M128" s="41">
        <f t="shared" si="3"/>
        <v>3</v>
      </c>
      <c r="N128" s="43">
        <f t="shared" si="4"/>
        <v>3120</v>
      </c>
      <c r="O128" s="43">
        <f t="shared" si="5"/>
        <v>2600</v>
      </c>
    </row>
    <row r="129" spans="1:15" x14ac:dyDescent="0.25">
      <c r="A129" s="31">
        <v>41356</v>
      </c>
      <c r="B129" t="s">
        <v>36</v>
      </c>
      <c r="C129" s="30">
        <v>4</v>
      </c>
      <c r="D129" s="30" t="s">
        <v>38</v>
      </c>
      <c r="E129" s="30">
        <v>19</v>
      </c>
      <c r="F129" t="str">
        <f>VLOOKUP(C129,Products!$A$2:$H$16,2,FALSE)</f>
        <v>A Guide to Health</v>
      </c>
      <c r="G129" t="str">
        <f>VLOOKUP(C129,Products!$A$2:$H$16,3,FALSE)</f>
        <v>Mahatma Gandhi</v>
      </c>
      <c r="H129" t="str">
        <f>VLOOKUP(C129,Products!$A$2:$H$16,4,FALSE)</f>
        <v>Hard Cover</v>
      </c>
      <c r="I129">
        <f>VLOOKUP(C129,Products!$A$2:$H$16,5,FALSE)</f>
        <v>1921</v>
      </c>
      <c r="J129" s="29">
        <f>VLOOKUP(C129,Products!$A$2:$H$16,6,FALSE)</f>
        <v>250</v>
      </c>
      <c r="K129" s="32">
        <f>VLOOKUP(C129,Products!$A$2:$H$16,7,FALSE)</f>
        <v>0.15</v>
      </c>
      <c r="L129" s="29">
        <f>VLOOKUP(C129,Products!$A$2:$H$16,8,FALSE)</f>
        <v>287.5</v>
      </c>
      <c r="M129" s="41">
        <f t="shared" si="3"/>
        <v>3</v>
      </c>
      <c r="N129" s="43">
        <f t="shared" si="4"/>
        <v>5462.5</v>
      </c>
      <c r="O129" s="43">
        <f t="shared" si="5"/>
        <v>4750</v>
      </c>
    </row>
    <row r="130" spans="1:15" x14ac:dyDescent="0.25">
      <c r="A130" s="31">
        <v>41357</v>
      </c>
      <c r="B130" t="s">
        <v>39</v>
      </c>
      <c r="C130" s="30">
        <v>5</v>
      </c>
      <c r="D130" s="30" t="s">
        <v>34</v>
      </c>
      <c r="E130" s="30">
        <v>5</v>
      </c>
      <c r="F130" t="str">
        <f>VLOOKUP(C130,Products!$A$2:$H$16,2,FALSE)</f>
        <v>Wings of Fire</v>
      </c>
      <c r="G130" t="str">
        <f>VLOOKUP(C130,Products!$A$2:$H$16,3,FALSE)</f>
        <v>APJ Abdul Kalam,
Arun Tiwari</v>
      </c>
      <c r="H130" t="str">
        <f>VLOOKUP(C130,Products!$A$2:$H$16,4,FALSE)</f>
        <v>Hard Cover</v>
      </c>
      <c r="I130">
        <f>VLOOKUP(C130,Products!$A$2:$H$16,5,FALSE)</f>
        <v>1999</v>
      </c>
      <c r="J130" s="29">
        <f>VLOOKUP(C130,Products!$A$2:$H$16,6,FALSE)</f>
        <v>1275.2488000000001</v>
      </c>
      <c r="K130" s="32">
        <f>VLOOKUP(C130,Products!$A$2:$H$16,7,FALSE)</f>
        <v>0.1</v>
      </c>
      <c r="L130" s="29">
        <f>VLOOKUP(C130,Products!$A$2:$H$16,8,FALSE)</f>
        <v>1402.77368</v>
      </c>
      <c r="M130" s="41">
        <f t="shared" si="3"/>
        <v>3</v>
      </c>
      <c r="N130" s="43">
        <f t="shared" si="4"/>
        <v>7013.8684000000003</v>
      </c>
      <c r="O130" s="43">
        <f t="shared" si="5"/>
        <v>6376.2440000000006</v>
      </c>
    </row>
    <row r="131" spans="1:15" x14ac:dyDescent="0.25">
      <c r="A131" s="31">
        <v>41357</v>
      </c>
      <c r="B131" t="s">
        <v>42</v>
      </c>
      <c r="C131" s="30">
        <v>4</v>
      </c>
      <c r="D131" s="30" t="s">
        <v>34</v>
      </c>
      <c r="E131" s="30">
        <v>2</v>
      </c>
      <c r="F131" t="str">
        <f>VLOOKUP(C131,Products!$A$2:$H$16,2,FALSE)</f>
        <v>A Guide to Health</v>
      </c>
      <c r="G131" t="str">
        <f>VLOOKUP(C131,Products!$A$2:$H$16,3,FALSE)</f>
        <v>Mahatma Gandhi</v>
      </c>
      <c r="H131" t="str">
        <f>VLOOKUP(C131,Products!$A$2:$H$16,4,FALSE)</f>
        <v>Hard Cover</v>
      </c>
      <c r="I131">
        <f>VLOOKUP(C131,Products!$A$2:$H$16,5,FALSE)</f>
        <v>1921</v>
      </c>
      <c r="J131" s="29">
        <f>VLOOKUP(C131,Products!$A$2:$H$16,6,FALSE)</f>
        <v>250</v>
      </c>
      <c r="K131" s="32">
        <f>VLOOKUP(C131,Products!$A$2:$H$16,7,FALSE)</f>
        <v>0.15</v>
      </c>
      <c r="L131" s="29">
        <f>VLOOKUP(C131,Products!$A$2:$H$16,8,FALSE)</f>
        <v>287.5</v>
      </c>
      <c r="M131" s="41">
        <f t="shared" ref="M131:M194" si="6">MONTH(A131)</f>
        <v>3</v>
      </c>
      <c r="N131" s="43">
        <f t="shared" ref="N131:N194" si="7">L131*E131</f>
        <v>575</v>
      </c>
      <c r="O131" s="43">
        <f t="shared" ref="O131:O194" si="8">J131*E131</f>
        <v>500</v>
      </c>
    </row>
    <row r="132" spans="1:15" x14ac:dyDescent="0.25">
      <c r="A132" s="31">
        <v>41358</v>
      </c>
      <c r="B132" t="s">
        <v>35</v>
      </c>
      <c r="C132" s="30">
        <v>14</v>
      </c>
      <c r="D132" s="30" t="s">
        <v>38</v>
      </c>
      <c r="E132" s="30">
        <v>11</v>
      </c>
      <c r="F132" t="str">
        <f>VLOOKUP(C132,Products!$A$2:$H$16,2,FALSE)</f>
        <v>A Guide to Health</v>
      </c>
      <c r="G132" t="str">
        <f>VLOOKUP(C132,Products!$A$2:$H$16,3,FALSE)</f>
        <v>Mahatma Gandhi</v>
      </c>
      <c r="H132" t="str">
        <f>VLOOKUP(C132,Products!$A$2:$H$16,4,FALSE)</f>
        <v>e-book</v>
      </c>
      <c r="I132">
        <f>VLOOKUP(C132,Products!$A$2:$H$16,5,FALSE)</f>
        <v>2005</v>
      </c>
      <c r="J132" s="29">
        <f>VLOOKUP(C132,Products!$A$2:$H$16,6,FALSE)</f>
        <v>105</v>
      </c>
      <c r="K132" s="32">
        <f>VLOOKUP(C132,Products!$A$2:$H$16,7,FALSE)</f>
        <v>0.15</v>
      </c>
      <c r="L132" s="29">
        <f>VLOOKUP(C132,Products!$A$2:$H$16,8,FALSE)</f>
        <v>120.75</v>
      </c>
      <c r="M132" s="41">
        <f t="shared" si="6"/>
        <v>3</v>
      </c>
      <c r="N132" s="43">
        <f t="shared" si="7"/>
        <v>1328.25</v>
      </c>
      <c r="O132" s="43">
        <f t="shared" si="8"/>
        <v>1155</v>
      </c>
    </row>
    <row r="133" spans="1:15" x14ac:dyDescent="0.25">
      <c r="A133" s="31">
        <v>41358</v>
      </c>
      <c r="B133" t="s">
        <v>40</v>
      </c>
      <c r="C133" s="30">
        <v>13</v>
      </c>
      <c r="D133" s="30" t="s">
        <v>34</v>
      </c>
      <c r="E133" s="30">
        <v>6</v>
      </c>
      <c r="F133" t="str">
        <f>VLOOKUP(C133,Products!$A$2:$H$16,2,FALSE)</f>
        <v>Glimpses of World History</v>
      </c>
      <c r="G133" t="str">
        <f>VLOOKUP(C133,Products!$A$2:$H$16,3,FALSE)</f>
        <v>Jawaharlal Nehru</v>
      </c>
      <c r="H133" t="str">
        <f>VLOOKUP(C133,Products!$A$2:$H$16,4,FALSE)</f>
        <v>e-book</v>
      </c>
      <c r="I133">
        <f>VLOOKUP(C133,Products!$A$2:$H$16,5,FALSE)</f>
        <v>2005</v>
      </c>
      <c r="J133" s="29">
        <f>VLOOKUP(C133,Products!$A$2:$H$16,6,FALSE)</f>
        <v>300</v>
      </c>
      <c r="K133" s="32">
        <f>VLOOKUP(C133,Products!$A$2:$H$16,7,FALSE)</f>
        <v>0.2</v>
      </c>
      <c r="L133" s="29">
        <f>VLOOKUP(C133,Products!$A$2:$H$16,8,FALSE)</f>
        <v>360</v>
      </c>
      <c r="M133" s="41">
        <f t="shared" si="6"/>
        <v>3</v>
      </c>
      <c r="N133" s="43">
        <f t="shared" si="7"/>
        <v>2160</v>
      </c>
      <c r="O133" s="43">
        <f t="shared" si="8"/>
        <v>1800</v>
      </c>
    </row>
    <row r="134" spans="1:15" x14ac:dyDescent="0.25">
      <c r="A134" s="31">
        <v>41358</v>
      </c>
      <c r="B134" t="s">
        <v>37</v>
      </c>
      <c r="C134" s="30">
        <v>11</v>
      </c>
      <c r="D134" s="30" t="s">
        <v>34</v>
      </c>
      <c r="E134" s="30">
        <v>9</v>
      </c>
      <c r="F134" t="str">
        <f>VLOOKUP(C134,Products!$A$2:$H$16,2,FALSE)</f>
        <v>The Discovery of India</v>
      </c>
      <c r="G134" t="str">
        <f>VLOOKUP(C134,Products!$A$2:$H$16,3,FALSE)</f>
        <v>Jawaharlal Nehru</v>
      </c>
      <c r="H134" t="str">
        <f>VLOOKUP(C134,Products!$A$2:$H$16,4,FALSE)</f>
        <v>e-book</v>
      </c>
      <c r="I134">
        <f>VLOOKUP(C134,Products!$A$2:$H$16,5,FALSE)</f>
        <v>2004</v>
      </c>
      <c r="J134" s="29">
        <f>VLOOKUP(C134,Products!$A$2:$H$16,6,FALSE)</f>
        <v>250</v>
      </c>
      <c r="K134" s="32">
        <f>VLOOKUP(C134,Products!$A$2:$H$16,7,FALSE)</f>
        <v>0.3</v>
      </c>
      <c r="L134" s="29">
        <f>VLOOKUP(C134,Products!$A$2:$H$16,8,FALSE)</f>
        <v>325</v>
      </c>
      <c r="M134" s="41">
        <f t="shared" si="6"/>
        <v>3</v>
      </c>
      <c r="N134" s="43">
        <f t="shared" si="7"/>
        <v>2925</v>
      </c>
      <c r="O134" s="43">
        <f t="shared" si="8"/>
        <v>2250</v>
      </c>
    </row>
    <row r="135" spans="1:15" x14ac:dyDescent="0.25">
      <c r="A135" s="31">
        <v>41359</v>
      </c>
      <c r="B135" t="s">
        <v>41</v>
      </c>
      <c r="C135" s="30">
        <v>10</v>
      </c>
      <c r="D135" s="30" t="s">
        <v>38</v>
      </c>
      <c r="E135" s="30">
        <v>9</v>
      </c>
      <c r="F135" t="str">
        <f>VLOOKUP(C135,Products!$A$2:$H$16,2,FALSE)</f>
        <v>Wings of Fire</v>
      </c>
      <c r="G135" t="str">
        <f>VLOOKUP(C135,Products!$A$2:$H$16,3,FALSE)</f>
        <v>APJ Abdul Kalam,
Arun Tiwari</v>
      </c>
      <c r="H135" t="str">
        <f>VLOOKUP(C135,Products!$A$2:$H$16,4,FALSE)</f>
        <v>Soft Cover</v>
      </c>
      <c r="I135">
        <f>VLOOKUP(C135,Products!$A$2:$H$16,5,FALSE)</f>
        <v>1999</v>
      </c>
      <c r="J135" s="29">
        <f>VLOOKUP(C135,Products!$A$2:$H$16,6,FALSE)</f>
        <v>1200</v>
      </c>
      <c r="K135" s="32">
        <f>VLOOKUP(C135,Products!$A$2:$H$16,7,FALSE)</f>
        <v>0.1</v>
      </c>
      <c r="L135" s="29">
        <f>VLOOKUP(C135,Products!$A$2:$H$16,8,FALSE)</f>
        <v>1320</v>
      </c>
      <c r="M135" s="41">
        <f t="shared" si="6"/>
        <v>3</v>
      </c>
      <c r="N135" s="43">
        <f t="shared" si="7"/>
        <v>11880</v>
      </c>
      <c r="O135" s="43">
        <f t="shared" si="8"/>
        <v>10800</v>
      </c>
    </row>
    <row r="136" spans="1:15" x14ac:dyDescent="0.25">
      <c r="A136" s="31">
        <v>41359</v>
      </c>
      <c r="B136" t="s">
        <v>42</v>
      </c>
      <c r="C136" s="30">
        <v>9</v>
      </c>
      <c r="D136" s="30" t="s">
        <v>34</v>
      </c>
      <c r="E136" s="30">
        <v>19</v>
      </c>
      <c r="F136" t="str">
        <f>VLOOKUP(C136,Products!$A$2:$H$16,2,FALSE)</f>
        <v>A Guide to Health</v>
      </c>
      <c r="G136" t="str">
        <f>VLOOKUP(C136,Products!$A$2:$H$16,3,FALSE)</f>
        <v>Mahatma Gandhi</v>
      </c>
      <c r="H136" t="str">
        <f>VLOOKUP(C136,Products!$A$2:$H$16,4,FALSE)</f>
        <v>Soft Cover</v>
      </c>
      <c r="I136">
        <f>VLOOKUP(C136,Products!$A$2:$H$16,5,FALSE)</f>
        <v>1921</v>
      </c>
      <c r="J136" s="29">
        <f>VLOOKUP(C136,Products!$A$2:$H$16,6,FALSE)</f>
        <v>220</v>
      </c>
      <c r="K136" s="32">
        <f>VLOOKUP(C136,Products!$A$2:$H$16,7,FALSE)</f>
        <v>0.15</v>
      </c>
      <c r="L136" s="29">
        <f>VLOOKUP(C136,Products!$A$2:$H$16,8,FALSE)</f>
        <v>253</v>
      </c>
      <c r="M136" s="41">
        <f t="shared" si="6"/>
        <v>3</v>
      </c>
      <c r="N136" s="43">
        <f t="shared" si="7"/>
        <v>4807</v>
      </c>
      <c r="O136" s="43">
        <f t="shared" si="8"/>
        <v>4180</v>
      </c>
    </row>
    <row r="137" spans="1:15" x14ac:dyDescent="0.25">
      <c r="A137" s="31">
        <v>41360</v>
      </c>
      <c r="B137" t="s">
        <v>40</v>
      </c>
      <c r="C137" s="30">
        <v>14</v>
      </c>
      <c r="D137" s="30" t="s">
        <v>34</v>
      </c>
      <c r="E137" s="30">
        <v>9</v>
      </c>
      <c r="F137" t="str">
        <f>VLOOKUP(C137,Products!$A$2:$H$16,2,FALSE)</f>
        <v>A Guide to Health</v>
      </c>
      <c r="G137" t="str">
        <f>VLOOKUP(C137,Products!$A$2:$H$16,3,FALSE)</f>
        <v>Mahatma Gandhi</v>
      </c>
      <c r="H137" t="str">
        <f>VLOOKUP(C137,Products!$A$2:$H$16,4,FALSE)</f>
        <v>e-book</v>
      </c>
      <c r="I137">
        <f>VLOOKUP(C137,Products!$A$2:$H$16,5,FALSE)</f>
        <v>2005</v>
      </c>
      <c r="J137" s="29">
        <f>VLOOKUP(C137,Products!$A$2:$H$16,6,FALSE)</f>
        <v>105</v>
      </c>
      <c r="K137" s="32">
        <f>VLOOKUP(C137,Products!$A$2:$H$16,7,FALSE)</f>
        <v>0.15</v>
      </c>
      <c r="L137" s="29">
        <f>VLOOKUP(C137,Products!$A$2:$H$16,8,FALSE)</f>
        <v>120.75</v>
      </c>
      <c r="M137" s="41">
        <f t="shared" si="6"/>
        <v>3</v>
      </c>
      <c r="N137" s="43">
        <f t="shared" si="7"/>
        <v>1086.75</v>
      </c>
      <c r="O137" s="43">
        <f t="shared" si="8"/>
        <v>945</v>
      </c>
    </row>
    <row r="138" spans="1:15" x14ac:dyDescent="0.25">
      <c r="A138" s="31">
        <v>41361</v>
      </c>
      <c r="B138" t="s">
        <v>37</v>
      </c>
      <c r="C138" s="30">
        <v>4</v>
      </c>
      <c r="D138" s="30" t="s">
        <v>38</v>
      </c>
      <c r="E138" s="30">
        <v>10</v>
      </c>
      <c r="F138" t="str">
        <f>VLOOKUP(C138,Products!$A$2:$H$16,2,FALSE)</f>
        <v>A Guide to Health</v>
      </c>
      <c r="G138" t="str">
        <f>VLOOKUP(C138,Products!$A$2:$H$16,3,FALSE)</f>
        <v>Mahatma Gandhi</v>
      </c>
      <c r="H138" t="str">
        <f>VLOOKUP(C138,Products!$A$2:$H$16,4,FALSE)</f>
        <v>Hard Cover</v>
      </c>
      <c r="I138">
        <f>VLOOKUP(C138,Products!$A$2:$H$16,5,FALSE)</f>
        <v>1921</v>
      </c>
      <c r="J138" s="29">
        <f>VLOOKUP(C138,Products!$A$2:$H$16,6,FALSE)</f>
        <v>250</v>
      </c>
      <c r="K138" s="32">
        <f>VLOOKUP(C138,Products!$A$2:$H$16,7,FALSE)</f>
        <v>0.15</v>
      </c>
      <c r="L138" s="29">
        <f>VLOOKUP(C138,Products!$A$2:$H$16,8,FALSE)</f>
        <v>287.5</v>
      </c>
      <c r="M138" s="41">
        <f t="shared" si="6"/>
        <v>3</v>
      </c>
      <c r="N138" s="43">
        <f t="shared" si="7"/>
        <v>2875</v>
      </c>
      <c r="O138" s="43">
        <f t="shared" si="8"/>
        <v>2500</v>
      </c>
    </row>
    <row r="139" spans="1:15" x14ac:dyDescent="0.25">
      <c r="A139" s="31">
        <v>41361</v>
      </c>
      <c r="B139" t="s">
        <v>42</v>
      </c>
      <c r="C139" s="30">
        <v>15</v>
      </c>
      <c r="D139" s="30" t="s">
        <v>34</v>
      </c>
      <c r="E139" s="30">
        <v>19</v>
      </c>
      <c r="F139" t="str">
        <f>VLOOKUP(C139,Products!$A$2:$H$16,2,FALSE)</f>
        <v>Wings of Fire</v>
      </c>
      <c r="G139" t="str">
        <f>VLOOKUP(C139,Products!$A$2:$H$16,3,FALSE)</f>
        <v>APJ Abdul Kalam,
Arun Tiwari</v>
      </c>
      <c r="H139" t="str">
        <f>VLOOKUP(C139,Products!$A$2:$H$16,4,FALSE)</f>
        <v>e-book</v>
      </c>
      <c r="I139">
        <f>VLOOKUP(C139,Products!$A$2:$H$16,5,FALSE)</f>
        <v>2005</v>
      </c>
      <c r="J139" s="29">
        <f>VLOOKUP(C139,Products!$A$2:$H$16,6,FALSE)</f>
        <v>500</v>
      </c>
      <c r="K139" s="32">
        <f>VLOOKUP(C139,Products!$A$2:$H$16,7,FALSE)</f>
        <v>0.1</v>
      </c>
      <c r="L139" s="29">
        <f>VLOOKUP(C139,Products!$A$2:$H$16,8,FALSE)</f>
        <v>550</v>
      </c>
      <c r="M139" s="41">
        <f t="shared" si="6"/>
        <v>3</v>
      </c>
      <c r="N139" s="43">
        <f t="shared" si="7"/>
        <v>10450</v>
      </c>
      <c r="O139" s="43">
        <f t="shared" si="8"/>
        <v>9500</v>
      </c>
    </row>
    <row r="140" spans="1:15" x14ac:dyDescent="0.25">
      <c r="A140" s="31">
        <v>41361</v>
      </c>
      <c r="B140" t="s">
        <v>39</v>
      </c>
      <c r="C140" s="30">
        <v>4</v>
      </c>
      <c r="D140" s="30" t="s">
        <v>34</v>
      </c>
      <c r="E140" s="30">
        <v>9</v>
      </c>
      <c r="F140" t="str">
        <f>VLOOKUP(C140,Products!$A$2:$H$16,2,FALSE)</f>
        <v>A Guide to Health</v>
      </c>
      <c r="G140" t="str">
        <f>VLOOKUP(C140,Products!$A$2:$H$16,3,FALSE)</f>
        <v>Mahatma Gandhi</v>
      </c>
      <c r="H140" t="str">
        <f>VLOOKUP(C140,Products!$A$2:$H$16,4,FALSE)</f>
        <v>Hard Cover</v>
      </c>
      <c r="I140">
        <f>VLOOKUP(C140,Products!$A$2:$H$16,5,FALSE)</f>
        <v>1921</v>
      </c>
      <c r="J140" s="29">
        <f>VLOOKUP(C140,Products!$A$2:$H$16,6,FALSE)</f>
        <v>250</v>
      </c>
      <c r="K140" s="32">
        <f>VLOOKUP(C140,Products!$A$2:$H$16,7,FALSE)</f>
        <v>0.15</v>
      </c>
      <c r="L140" s="29">
        <f>VLOOKUP(C140,Products!$A$2:$H$16,8,FALSE)</f>
        <v>287.5</v>
      </c>
      <c r="M140" s="41">
        <f t="shared" si="6"/>
        <v>3</v>
      </c>
      <c r="N140" s="43">
        <f t="shared" si="7"/>
        <v>2587.5</v>
      </c>
      <c r="O140" s="43">
        <f t="shared" si="8"/>
        <v>2250</v>
      </c>
    </row>
    <row r="141" spans="1:15" x14ac:dyDescent="0.25">
      <c r="A141" s="31">
        <v>41361</v>
      </c>
      <c r="B141" t="s">
        <v>42</v>
      </c>
      <c r="C141" s="30">
        <v>2</v>
      </c>
      <c r="D141" s="30" t="s">
        <v>34</v>
      </c>
      <c r="E141" s="30">
        <v>20</v>
      </c>
      <c r="F141" t="str">
        <f>VLOOKUP(C141,Products!$A$2:$H$16,2,FALSE)</f>
        <v>The Story of my Experiments with Truth</v>
      </c>
      <c r="G141" t="str">
        <f>VLOOKUP(C141,Products!$A$2:$H$16,3,FALSE)</f>
        <v>Mahatma Gandhi</v>
      </c>
      <c r="H141" t="str">
        <f>VLOOKUP(C141,Products!$A$2:$H$16,4,FALSE)</f>
        <v>Hard Cover</v>
      </c>
      <c r="I141">
        <f>VLOOKUP(C141,Products!$A$2:$H$16,5,FALSE)</f>
        <v>1927</v>
      </c>
      <c r="J141" s="29">
        <f>VLOOKUP(C141,Products!$A$2:$H$16,6,FALSE)</f>
        <v>159</v>
      </c>
      <c r="K141" s="32">
        <f>VLOOKUP(C141,Products!$A$2:$H$16,7,FALSE)</f>
        <v>0.3</v>
      </c>
      <c r="L141" s="29">
        <f>VLOOKUP(C141,Products!$A$2:$H$16,8,FALSE)</f>
        <v>206.7</v>
      </c>
      <c r="M141" s="41">
        <f t="shared" si="6"/>
        <v>3</v>
      </c>
      <c r="N141" s="43">
        <f t="shared" si="7"/>
        <v>4134</v>
      </c>
      <c r="O141" s="43">
        <f t="shared" si="8"/>
        <v>3180</v>
      </c>
    </row>
    <row r="142" spans="1:15" x14ac:dyDescent="0.25">
      <c r="A142" s="31">
        <v>41363</v>
      </c>
      <c r="B142" t="s">
        <v>40</v>
      </c>
      <c r="C142" s="30">
        <v>3</v>
      </c>
      <c r="D142" s="30" t="s">
        <v>38</v>
      </c>
      <c r="E142" s="30">
        <v>18</v>
      </c>
      <c r="F142" t="str">
        <f>VLOOKUP(C142,Products!$A$2:$H$16,2,FALSE)</f>
        <v>Glimpses of World History</v>
      </c>
      <c r="G142" t="str">
        <f>VLOOKUP(C142,Products!$A$2:$H$16,3,FALSE)</f>
        <v>Jawaharlal Nehru</v>
      </c>
      <c r="H142" t="str">
        <f>VLOOKUP(C142,Products!$A$2:$H$16,4,FALSE)</f>
        <v>Hard Cover</v>
      </c>
      <c r="I142">
        <f>VLOOKUP(C142,Products!$A$2:$H$16,5,FALSE)</f>
        <v>1934</v>
      </c>
      <c r="J142" s="29">
        <f>VLOOKUP(C142,Products!$A$2:$H$16,6,FALSE)</f>
        <v>750.45899999999995</v>
      </c>
      <c r="K142" s="32">
        <f>VLOOKUP(C142,Products!$A$2:$H$16,7,FALSE)</f>
        <v>0.2</v>
      </c>
      <c r="L142" s="29">
        <f>VLOOKUP(C142,Products!$A$2:$H$16,8,FALSE)</f>
        <v>900.55079999999998</v>
      </c>
      <c r="M142" s="41">
        <f t="shared" si="6"/>
        <v>3</v>
      </c>
      <c r="N142" s="43">
        <f t="shared" si="7"/>
        <v>16209.9144</v>
      </c>
      <c r="O142" s="43">
        <f t="shared" si="8"/>
        <v>13508.261999999999</v>
      </c>
    </row>
    <row r="143" spans="1:15" x14ac:dyDescent="0.25">
      <c r="A143" s="31">
        <v>41363</v>
      </c>
      <c r="B143" t="s">
        <v>41</v>
      </c>
      <c r="C143" s="30">
        <v>15</v>
      </c>
      <c r="D143" s="30" t="s">
        <v>38</v>
      </c>
      <c r="E143" s="30">
        <v>14</v>
      </c>
      <c r="F143" t="str">
        <f>VLOOKUP(C143,Products!$A$2:$H$16,2,FALSE)</f>
        <v>Wings of Fire</v>
      </c>
      <c r="G143" t="str">
        <f>VLOOKUP(C143,Products!$A$2:$H$16,3,FALSE)</f>
        <v>APJ Abdul Kalam,
Arun Tiwari</v>
      </c>
      <c r="H143" t="str">
        <f>VLOOKUP(C143,Products!$A$2:$H$16,4,FALSE)</f>
        <v>e-book</v>
      </c>
      <c r="I143">
        <f>VLOOKUP(C143,Products!$A$2:$H$16,5,FALSE)</f>
        <v>2005</v>
      </c>
      <c r="J143" s="29">
        <f>VLOOKUP(C143,Products!$A$2:$H$16,6,FALSE)</f>
        <v>500</v>
      </c>
      <c r="K143" s="32">
        <f>VLOOKUP(C143,Products!$A$2:$H$16,7,FALSE)</f>
        <v>0.1</v>
      </c>
      <c r="L143" s="29">
        <f>VLOOKUP(C143,Products!$A$2:$H$16,8,FALSE)</f>
        <v>550</v>
      </c>
      <c r="M143" s="41">
        <f t="shared" si="6"/>
        <v>3</v>
      </c>
      <c r="N143" s="43">
        <f t="shared" si="7"/>
        <v>7700</v>
      </c>
      <c r="O143" s="43">
        <f t="shared" si="8"/>
        <v>7000</v>
      </c>
    </row>
    <row r="144" spans="1:15" x14ac:dyDescent="0.25">
      <c r="A144" s="31">
        <v>41364</v>
      </c>
      <c r="B144" t="s">
        <v>39</v>
      </c>
      <c r="C144" s="30">
        <v>15</v>
      </c>
      <c r="D144" s="30" t="s">
        <v>34</v>
      </c>
      <c r="E144" s="30">
        <v>2</v>
      </c>
      <c r="F144" t="str">
        <f>VLOOKUP(C144,Products!$A$2:$H$16,2,FALSE)</f>
        <v>Wings of Fire</v>
      </c>
      <c r="G144" t="str">
        <f>VLOOKUP(C144,Products!$A$2:$H$16,3,FALSE)</f>
        <v>APJ Abdul Kalam,
Arun Tiwari</v>
      </c>
      <c r="H144" t="str">
        <f>VLOOKUP(C144,Products!$A$2:$H$16,4,FALSE)</f>
        <v>e-book</v>
      </c>
      <c r="I144">
        <f>VLOOKUP(C144,Products!$A$2:$H$16,5,FALSE)</f>
        <v>2005</v>
      </c>
      <c r="J144" s="29">
        <f>VLOOKUP(C144,Products!$A$2:$H$16,6,FALSE)</f>
        <v>500</v>
      </c>
      <c r="K144" s="32">
        <f>VLOOKUP(C144,Products!$A$2:$H$16,7,FALSE)</f>
        <v>0.1</v>
      </c>
      <c r="L144" s="29">
        <f>VLOOKUP(C144,Products!$A$2:$H$16,8,FALSE)</f>
        <v>550</v>
      </c>
      <c r="M144" s="41">
        <f t="shared" si="6"/>
        <v>3</v>
      </c>
      <c r="N144" s="43">
        <f t="shared" si="7"/>
        <v>1100</v>
      </c>
      <c r="O144" s="43">
        <f t="shared" si="8"/>
        <v>1000</v>
      </c>
    </row>
    <row r="145" spans="1:15" x14ac:dyDescent="0.25">
      <c r="A145" s="31">
        <v>41364</v>
      </c>
      <c r="B145" t="s">
        <v>40</v>
      </c>
      <c r="C145" s="30">
        <v>4</v>
      </c>
      <c r="D145" s="30" t="s">
        <v>34</v>
      </c>
      <c r="E145" s="30">
        <v>13</v>
      </c>
      <c r="F145" t="str">
        <f>VLOOKUP(C145,Products!$A$2:$H$16,2,FALSE)</f>
        <v>A Guide to Health</v>
      </c>
      <c r="G145" t="str">
        <f>VLOOKUP(C145,Products!$A$2:$H$16,3,FALSE)</f>
        <v>Mahatma Gandhi</v>
      </c>
      <c r="H145" t="str">
        <f>VLOOKUP(C145,Products!$A$2:$H$16,4,FALSE)</f>
        <v>Hard Cover</v>
      </c>
      <c r="I145">
        <f>VLOOKUP(C145,Products!$A$2:$H$16,5,FALSE)</f>
        <v>1921</v>
      </c>
      <c r="J145" s="29">
        <f>VLOOKUP(C145,Products!$A$2:$H$16,6,FALSE)</f>
        <v>250</v>
      </c>
      <c r="K145" s="32">
        <f>VLOOKUP(C145,Products!$A$2:$H$16,7,FALSE)</f>
        <v>0.15</v>
      </c>
      <c r="L145" s="29">
        <f>VLOOKUP(C145,Products!$A$2:$H$16,8,FALSE)</f>
        <v>287.5</v>
      </c>
      <c r="M145" s="41">
        <f t="shared" si="6"/>
        <v>3</v>
      </c>
      <c r="N145" s="43">
        <f t="shared" si="7"/>
        <v>3737.5</v>
      </c>
      <c r="O145" s="43">
        <f t="shared" si="8"/>
        <v>3250</v>
      </c>
    </row>
    <row r="146" spans="1:15" x14ac:dyDescent="0.25">
      <c r="A146" s="31">
        <v>41365</v>
      </c>
      <c r="B146" t="s">
        <v>36</v>
      </c>
      <c r="C146" s="30">
        <v>10</v>
      </c>
      <c r="D146" s="30" t="s">
        <v>34</v>
      </c>
      <c r="E146" s="30">
        <v>10</v>
      </c>
      <c r="F146" t="str">
        <f>VLOOKUP(C146,Products!$A$2:$H$16,2,FALSE)</f>
        <v>Wings of Fire</v>
      </c>
      <c r="G146" t="str">
        <f>VLOOKUP(C146,Products!$A$2:$H$16,3,FALSE)</f>
        <v>APJ Abdul Kalam,
Arun Tiwari</v>
      </c>
      <c r="H146" t="str">
        <f>VLOOKUP(C146,Products!$A$2:$H$16,4,FALSE)</f>
        <v>Soft Cover</v>
      </c>
      <c r="I146">
        <f>VLOOKUP(C146,Products!$A$2:$H$16,5,FALSE)</f>
        <v>1999</v>
      </c>
      <c r="J146" s="29">
        <f>VLOOKUP(C146,Products!$A$2:$H$16,6,FALSE)</f>
        <v>1200</v>
      </c>
      <c r="K146" s="32">
        <f>VLOOKUP(C146,Products!$A$2:$H$16,7,FALSE)</f>
        <v>0.1</v>
      </c>
      <c r="L146" s="29">
        <f>VLOOKUP(C146,Products!$A$2:$H$16,8,FALSE)</f>
        <v>1320</v>
      </c>
      <c r="M146" s="41">
        <f t="shared" si="6"/>
        <v>4</v>
      </c>
      <c r="N146" s="43">
        <f t="shared" si="7"/>
        <v>13200</v>
      </c>
      <c r="O146" s="43">
        <f t="shared" si="8"/>
        <v>12000</v>
      </c>
    </row>
    <row r="147" spans="1:15" x14ac:dyDescent="0.25">
      <c r="A147" s="31">
        <v>41365</v>
      </c>
      <c r="B147" t="s">
        <v>40</v>
      </c>
      <c r="C147" s="30">
        <v>13</v>
      </c>
      <c r="D147" s="30" t="s">
        <v>34</v>
      </c>
      <c r="E147" s="30">
        <v>2</v>
      </c>
      <c r="F147" t="str">
        <f>VLOOKUP(C147,Products!$A$2:$H$16,2,FALSE)</f>
        <v>Glimpses of World History</v>
      </c>
      <c r="G147" t="str">
        <f>VLOOKUP(C147,Products!$A$2:$H$16,3,FALSE)</f>
        <v>Jawaharlal Nehru</v>
      </c>
      <c r="H147" t="str">
        <f>VLOOKUP(C147,Products!$A$2:$H$16,4,FALSE)</f>
        <v>e-book</v>
      </c>
      <c r="I147">
        <f>VLOOKUP(C147,Products!$A$2:$H$16,5,FALSE)</f>
        <v>2005</v>
      </c>
      <c r="J147" s="29">
        <f>VLOOKUP(C147,Products!$A$2:$H$16,6,FALSE)</f>
        <v>300</v>
      </c>
      <c r="K147" s="32">
        <f>VLOOKUP(C147,Products!$A$2:$H$16,7,FALSE)</f>
        <v>0.2</v>
      </c>
      <c r="L147" s="29">
        <f>VLOOKUP(C147,Products!$A$2:$H$16,8,FALSE)</f>
        <v>360</v>
      </c>
      <c r="M147" s="41">
        <f t="shared" si="6"/>
        <v>4</v>
      </c>
      <c r="N147" s="43">
        <f t="shared" si="7"/>
        <v>720</v>
      </c>
      <c r="O147" s="43">
        <f t="shared" si="8"/>
        <v>600</v>
      </c>
    </row>
    <row r="148" spans="1:15" x14ac:dyDescent="0.25">
      <c r="A148" s="31">
        <v>41368</v>
      </c>
      <c r="B148" t="s">
        <v>39</v>
      </c>
      <c r="C148" s="30">
        <v>9</v>
      </c>
      <c r="D148" s="30" t="s">
        <v>38</v>
      </c>
      <c r="E148" s="30">
        <v>18</v>
      </c>
      <c r="F148" t="str">
        <f>VLOOKUP(C148,Products!$A$2:$H$16,2,FALSE)</f>
        <v>A Guide to Health</v>
      </c>
      <c r="G148" t="str">
        <f>VLOOKUP(C148,Products!$A$2:$H$16,3,FALSE)</f>
        <v>Mahatma Gandhi</v>
      </c>
      <c r="H148" t="str">
        <f>VLOOKUP(C148,Products!$A$2:$H$16,4,FALSE)</f>
        <v>Soft Cover</v>
      </c>
      <c r="I148">
        <f>VLOOKUP(C148,Products!$A$2:$H$16,5,FALSE)</f>
        <v>1921</v>
      </c>
      <c r="J148" s="29">
        <f>VLOOKUP(C148,Products!$A$2:$H$16,6,FALSE)</f>
        <v>220</v>
      </c>
      <c r="K148" s="32">
        <f>VLOOKUP(C148,Products!$A$2:$H$16,7,FALSE)</f>
        <v>0.15</v>
      </c>
      <c r="L148" s="29">
        <f>VLOOKUP(C148,Products!$A$2:$H$16,8,FALSE)</f>
        <v>253</v>
      </c>
      <c r="M148" s="41">
        <f t="shared" si="6"/>
        <v>4</v>
      </c>
      <c r="N148" s="43">
        <f t="shared" si="7"/>
        <v>4554</v>
      </c>
      <c r="O148" s="43">
        <f t="shared" si="8"/>
        <v>3960</v>
      </c>
    </row>
    <row r="149" spans="1:15" x14ac:dyDescent="0.25">
      <c r="A149" s="31">
        <v>41368</v>
      </c>
      <c r="B149" t="s">
        <v>41</v>
      </c>
      <c r="C149" s="30">
        <v>2</v>
      </c>
      <c r="D149" s="30" t="s">
        <v>34</v>
      </c>
      <c r="E149" s="30">
        <v>20</v>
      </c>
      <c r="F149" t="str">
        <f>VLOOKUP(C149,Products!$A$2:$H$16,2,FALSE)</f>
        <v>The Story of my Experiments with Truth</v>
      </c>
      <c r="G149" t="str">
        <f>VLOOKUP(C149,Products!$A$2:$H$16,3,FALSE)</f>
        <v>Mahatma Gandhi</v>
      </c>
      <c r="H149" t="str">
        <f>VLOOKUP(C149,Products!$A$2:$H$16,4,FALSE)</f>
        <v>Hard Cover</v>
      </c>
      <c r="I149">
        <f>VLOOKUP(C149,Products!$A$2:$H$16,5,FALSE)</f>
        <v>1927</v>
      </c>
      <c r="J149" s="29">
        <f>VLOOKUP(C149,Products!$A$2:$H$16,6,FALSE)</f>
        <v>159</v>
      </c>
      <c r="K149" s="32">
        <f>VLOOKUP(C149,Products!$A$2:$H$16,7,FALSE)</f>
        <v>0.3</v>
      </c>
      <c r="L149" s="29">
        <f>VLOOKUP(C149,Products!$A$2:$H$16,8,FALSE)</f>
        <v>206.7</v>
      </c>
      <c r="M149" s="41">
        <f t="shared" si="6"/>
        <v>4</v>
      </c>
      <c r="N149" s="43">
        <f t="shared" si="7"/>
        <v>4134</v>
      </c>
      <c r="O149" s="43">
        <f t="shared" si="8"/>
        <v>3180</v>
      </c>
    </row>
    <row r="150" spans="1:15" x14ac:dyDescent="0.25">
      <c r="A150" s="31">
        <v>41369</v>
      </c>
      <c r="B150" t="s">
        <v>35</v>
      </c>
      <c r="C150" s="30">
        <v>8</v>
      </c>
      <c r="D150" s="30" t="s">
        <v>34</v>
      </c>
      <c r="E150" s="30">
        <v>7</v>
      </c>
      <c r="F150" t="str">
        <f>VLOOKUP(C150,Products!$A$2:$H$16,2,FALSE)</f>
        <v>Glimpses of World History</v>
      </c>
      <c r="G150" t="str">
        <f>VLOOKUP(C150,Products!$A$2:$H$16,3,FALSE)</f>
        <v>Jawaharlal Nehru</v>
      </c>
      <c r="H150" t="str">
        <f>VLOOKUP(C150,Products!$A$2:$H$16,4,FALSE)</f>
        <v>Soft Cover</v>
      </c>
      <c r="I150">
        <f>VLOOKUP(C150,Products!$A$2:$H$16,5,FALSE)</f>
        <v>1934</v>
      </c>
      <c r="J150" s="29">
        <f>VLOOKUP(C150,Products!$A$2:$H$16,6,FALSE)</f>
        <v>650</v>
      </c>
      <c r="K150" s="32">
        <f>VLOOKUP(C150,Products!$A$2:$H$16,7,FALSE)</f>
        <v>0.2</v>
      </c>
      <c r="L150" s="29">
        <f>VLOOKUP(C150,Products!$A$2:$H$16,8,FALSE)</f>
        <v>780</v>
      </c>
      <c r="M150" s="41">
        <f t="shared" si="6"/>
        <v>4</v>
      </c>
      <c r="N150" s="43">
        <f t="shared" si="7"/>
        <v>5460</v>
      </c>
      <c r="O150" s="43">
        <f t="shared" si="8"/>
        <v>4550</v>
      </c>
    </row>
    <row r="151" spans="1:15" x14ac:dyDescent="0.25">
      <c r="A151" s="31">
        <v>41370</v>
      </c>
      <c r="B151" t="s">
        <v>39</v>
      </c>
      <c r="C151" s="30">
        <v>11</v>
      </c>
      <c r="D151" s="30" t="s">
        <v>34</v>
      </c>
      <c r="E151" s="30">
        <v>15</v>
      </c>
      <c r="F151" t="str">
        <f>VLOOKUP(C151,Products!$A$2:$H$16,2,FALSE)</f>
        <v>The Discovery of India</v>
      </c>
      <c r="G151" t="str">
        <f>VLOOKUP(C151,Products!$A$2:$H$16,3,FALSE)</f>
        <v>Jawaharlal Nehru</v>
      </c>
      <c r="H151" t="str">
        <f>VLOOKUP(C151,Products!$A$2:$H$16,4,FALSE)</f>
        <v>e-book</v>
      </c>
      <c r="I151">
        <f>VLOOKUP(C151,Products!$A$2:$H$16,5,FALSE)</f>
        <v>2004</v>
      </c>
      <c r="J151" s="29">
        <f>VLOOKUP(C151,Products!$A$2:$H$16,6,FALSE)</f>
        <v>250</v>
      </c>
      <c r="K151" s="32">
        <f>VLOOKUP(C151,Products!$A$2:$H$16,7,FALSE)</f>
        <v>0.3</v>
      </c>
      <c r="L151" s="29">
        <f>VLOOKUP(C151,Products!$A$2:$H$16,8,FALSE)</f>
        <v>325</v>
      </c>
      <c r="M151" s="41">
        <f t="shared" si="6"/>
        <v>4</v>
      </c>
      <c r="N151" s="43">
        <f t="shared" si="7"/>
        <v>4875</v>
      </c>
      <c r="O151" s="43">
        <f t="shared" si="8"/>
        <v>3750</v>
      </c>
    </row>
    <row r="152" spans="1:15" x14ac:dyDescent="0.25">
      <c r="A152" s="31">
        <v>41370</v>
      </c>
      <c r="B152" t="s">
        <v>40</v>
      </c>
      <c r="C152" s="30">
        <v>8</v>
      </c>
      <c r="D152" s="30" t="s">
        <v>38</v>
      </c>
      <c r="E152" s="30">
        <v>14</v>
      </c>
      <c r="F152" t="str">
        <f>VLOOKUP(C152,Products!$A$2:$H$16,2,FALSE)</f>
        <v>Glimpses of World History</v>
      </c>
      <c r="G152" t="str">
        <f>VLOOKUP(C152,Products!$A$2:$H$16,3,FALSE)</f>
        <v>Jawaharlal Nehru</v>
      </c>
      <c r="H152" t="str">
        <f>VLOOKUP(C152,Products!$A$2:$H$16,4,FALSE)</f>
        <v>Soft Cover</v>
      </c>
      <c r="I152">
        <f>VLOOKUP(C152,Products!$A$2:$H$16,5,FALSE)</f>
        <v>1934</v>
      </c>
      <c r="J152" s="29">
        <f>VLOOKUP(C152,Products!$A$2:$H$16,6,FALSE)</f>
        <v>650</v>
      </c>
      <c r="K152" s="32">
        <f>VLOOKUP(C152,Products!$A$2:$H$16,7,FALSE)</f>
        <v>0.2</v>
      </c>
      <c r="L152" s="29">
        <f>VLOOKUP(C152,Products!$A$2:$H$16,8,FALSE)</f>
        <v>780</v>
      </c>
      <c r="M152" s="41">
        <f t="shared" si="6"/>
        <v>4</v>
      </c>
      <c r="N152" s="43">
        <f t="shared" si="7"/>
        <v>10920</v>
      </c>
      <c r="O152" s="43">
        <f t="shared" si="8"/>
        <v>9100</v>
      </c>
    </row>
    <row r="153" spans="1:15" x14ac:dyDescent="0.25">
      <c r="A153" s="31">
        <v>41371</v>
      </c>
      <c r="B153" t="s">
        <v>41</v>
      </c>
      <c r="C153" s="30">
        <v>8</v>
      </c>
      <c r="D153" s="30" t="s">
        <v>34</v>
      </c>
      <c r="E153" s="30">
        <v>6</v>
      </c>
      <c r="F153" t="str">
        <f>VLOOKUP(C153,Products!$A$2:$H$16,2,FALSE)</f>
        <v>Glimpses of World History</v>
      </c>
      <c r="G153" t="str">
        <f>VLOOKUP(C153,Products!$A$2:$H$16,3,FALSE)</f>
        <v>Jawaharlal Nehru</v>
      </c>
      <c r="H153" t="str">
        <f>VLOOKUP(C153,Products!$A$2:$H$16,4,FALSE)</f>
        <v>Soft Cover</v>
      </c>
      <c r="I153">
        <f>VLOOKUP(C153,Products!$A$2:$H$16,5,FALSE)</f>
        <v>1934</v>
      </c>
      <c r="J153" s="29">
        <f>VLOOKUP(C153,Products!$A$2:$H$16,6,FALSE)</f>
        <v>650</v>
      </c>
      <c r="K153" s="32">
        <f>VLOOKUP(C153,Products!$A$2:$H$16,7,FALSE)</f>
        <v>0.2</v>
      </c>
      <c r="L153" s="29">
        <f>VLOOKUP(C153,Products!$A$2:$H$16,8,FALSE)</f>
        <v>780</v>
      </c>
      <c r="M153" s="41">
        <f t="shared" si="6"/>
        <v>4</v>
      </c>
      <c r="N153" s="43">
        <f t="shared" si="7"/>
        <v>4680</v>
      </c>
      <c r="O153" s="43">
        <f t="shared" si="8"/>
        <v>3900</v>
      </c>
    </row>
    <row r="154" spans="1:15" x14ac:dyDescent="0.25">
      <c r="A154" s="31">
        <v>41371</v>
      </c>
      <c r="B154" t="s">
        <v>37</v>
      </c>
      <c r="C154" s="30">
        <v>13</v>
      </c>
      <c r="D154" s="30" t="s">
        <v>34</v>
      </c>
      <c r="E154" s="30">
        <v>7</v>
      </c>
      <c r="F154" t="str">
        <f>VLOOKUP(C154,Products!$A$2:$H$16,2,FALSE)</f>
        <v>Glimpses of World History</v>
      </c>
      <c r="G154" t="str">
        <f>VLOOKUP(C154,Products!$A$2:$H$16,3,FALSE)</f>
        <v>Jawaharlal Nehru</v>
      </c>
      <c r="H154" t="str">
        <f>VLOOKUP(C154,Products!$A$2:$H$16,4,FALSE)</f>
        <v>e-book</v>
      </c>
      <c r="I154">
        <f>VLOOKUP(C154,Products!$A$2:$H$16,5,FALSE)</f>
        <v>2005</v>
      </c>
      <c r="J154" s="29">
        <f>VLOOKUP(C154,Products!$A$2:$H$16,6,FALSE)</f>
        <v>300</v>
      </c>
      <c r="K154" s="32">
        <f>VLOOKUP(C154,Products!$A$2:$H$16,7,FALSE)</f>
        <v>0.2</v>
      </c>
      <c r="L154" s="29">
        <f>VLOOKUP(C154,Products!$A$2:$H$16,8,FALSE)</f>
        <v>360</v>
      </c>
      <c r="M154" s="41">
        <f t="shared" si="6"/>
        <v>4</v>
      </c>
      <c r="N154" s="43">
        <f t="shared" si="7"/>
        <v>2520</v>
      </c>
      <c r="O154" s="43">
        <f t="shared" si="8"/>
        <v>2100</v>
      </c>
    </row>
    <row r="155" spans="1:15" x14ac:dyDescent="0.25">
      <c r="A155" s="31">
        <v>41371</v>
      </c>
      <c r="B155" t="s">
        <v>39</v>
      </c>
      <c r="C155" s="30">
        <v>11</v>
      </c>
      <c r="D155" s="30" t="s">
        <v>38</v>
      </c>
      <c r="E155" s="30">
        <v>16</v>
      </c>
      <c r="F155" t="str">
        <f>VLOOKUP(C155,Products!$A$2:$H$16,2,FALSE)</f>
        <v>The Discovery of India</v>
      </c>
      <c r="G155" t="str">
        <f>VLOOKUP(C155,Products!$A$2:$H$16,3,FALSE)</f>
        <v>Jawaharlal Nehru</v>
      </c>
      <c r="H155" t="str">
        <f>VLOOKUP(C155,Products!$A$2:$H$16,4,FALSE)</f>
        <v>e-book</v>
      </c>
      <c r="I155">
        <f>VLOOKUP(C155,Products!$A$2:$H$16,5,FALSE)</f>
        <v>2004</v>
      </c>
      <c r="J155" s="29">
        <f>VLOOKUP(C155,Products!$A$2:$H$16,6,FALSE)</f>
        <v>250</v>
      </c>
      <c r="K155" s="32">
        <f>VLOOKUP(C155,Products!$A$2:$H$16,7,FALSE)</f>
        <v>0.3</v>
      </c>
      <c r="L155" s="29">
        <f>VLOOKUP(C155,Products!$A$2:$H$16,8,FALSE)</f>
        <v>325</v>
      </c>
      <c r="M155" s="41">
        <f t="shared" si="6"/>
        <v>4</v>
      </c>
      <c r="N155" s="43">
        <f t="shared" si="7"/>
        <v>5200</v>
      </c>
      <c r="O155" s="43">
        <f t="shared" si="8"/>
        <v>4000</v>
      </c>
    </row>
    <row r="156" spans="1:15" x14ac:dyDescent="0.25">
      <c r="A156" s="31">
        <v>41371</v>
      </c>
      <c r="B156" t="s">
        <v>36</v>
      </c>
      <c r="C156" s="30">
        <v>12</v>
      </c>
      <c r="D156" s="30" t="s">
        <v>34</v>
      </c>
      <c r="E156" s="30">
        <v>3</v>
      </c>
      <c r="F156" t="str">
        <f>VLOOKUP(C156,Products!$A$2:$H$16,2,FALSE)</f>
        <v>The Story of my Experiments with Truth</v>
      </c>
      <c r="G156" t="str">
        <f>VLOOKUP(C156,Products!$A$2:$H$16,3,FALSE)</f>
        <v>Mahatma Gandhi</v>
      </c>
      <c r="H156" t="str">
        <f>VLOOKUP(C156,Products!$A$2:$H$16,4,FALSE)</f>
        <v>e-book</v>
      </c>
      <c r="I156">
        <f>VLOOKUP(C156,Products!$A$2:$H$16,5,FALSE)</f>
        <v>2004</v>
      </c>
      <c r="J156" s="29">
        <f>VLOOKUP(C156,Products!$A$2:$H$16,6,FALSE)</f>
        <v>50</v>
      </c>
      <c r="K156" s="32">
        <f>VLOOKUP(C156,Products!$A$2:$H$16,7,FALSE)</f>
        <v>0.3</v>
      </c>
      <c r="L156" s="29">
        <f>VLOOKUP(C156,Products!$A$2:$H$16,8,FALSE)</f>
        <v>65</v>
      </c>
      <c r="M156" s="41">
        <f t="shared" si="6"/>
        <v>4</v>
      </c>
      <c r="N156" s="43">
        <f t="shared" si="7"/>
        <v>195</v>
      </c>
      <c r="O156" s="43">
        <f t="shared" si="8"/>
        <v>150</v>
      </c>
    </row>
    <row r="157" spans="1:15" x14ac:dyDescent="0.25">
      <c r="A157" s="31">
        <v>41372</v>
      </c>
      <c r="B157" t="s">
        <v>42</v>
      </c>
      <c r="C157" s="30">
        <v>3</v>
      </c>
      <c r="D157" s="30" t="s">
        <v>38</v>
      </c>
      <c r="E157" s="30">
        <v>8</v>
      </c>
      <c r="F157" t="str">
        <f>VLOOKUP(C157,Products!$A$2:$H$16,2,FALSE)</f>
        <v>Glimpses of World History</v>
      </c>
      <c r="G157" t="str">
        <f>VLOOKUP(C157,Products!$A$2:$H$16,3,FALSE)</f>
        <v>Jawaharlal Nehru</v>
      </c>
      <c r="H157" t="str">
        <f>VLOOKUP(C157,Products!$A$2:$H$16,4,FALSE)</f>
        <v>Hard Cover</v>
      </c>
      <c r="I157">
        <f>VLOOKUP(C157,Products!$A$2:$H$16,5,FALSE)</f>
        <v>1934</v>
      </c>
      <c r="J157" s="29">
        <f>VLOOKUP(C157,Products!$A$2:$H$16,6,FALSE)</f>
        <v>750.45899999999995</v>
      </c>
      <c r="K157" s="32">
        <f>VLOOKUP(C157,Products!$A$2:$H$16,7,FALSE)</f>
        <v>0.2</v>
      </c>
      <c r="L157" s="29">
        <f>VLOOKUP(C157,Products!$A$2:$H$16,8,FALSE)</f>
        <v>900.55079999999998</v>
      </c>
      <c r="M157" s="41">
        <f t="shared" si="6"/>
        <v>4</v>
      </c>
      <c r="N157" s="43">
        <f t="shared" si="7"/>
        <v>7204.4063999999998</v>
      </c>
      <c r="O157" s="43">
        <f t="shared" si="8"/>
        <v>6003.6719999999996</v>
      </c>
    </row>
    <row r="158" spans="1:15" x14ac:dyDescent="0.25">
      <c r="A158" s="31">
        <v>41372</v>
      </c>
      <c r="B158" t="s">
        <v>41</v>
      </c>
      <c r="C158" s="30">
        <v>8</v>
      </c>
      <c r="D158" s="30" t="s">
        <v>38</v>
      </c>
      <c r="E158" s="30">
        <v>9</v>
      </c>
      <c r="F158" t="str">
        <f>VLOOKUP(C158,Products!$A$2:$H$16,2,FALSE)</f>
        <v>Glimpses of World History</v>
      </c>
      <c r="G158" t="str">
        <f>VLOOKUP(C158,Products!$A$2:$H$16,3,FALSE)</f>
        <v>Jawaharlal Nehru</v>
      </c>
      <c r="H158" t="str">
        <f>VLOOKUP(C158,Products!$A$2:$H$16,4,FALSE)</f>
        <v>Soft Cover</v>
      </c>
      <c r="I158">
        <f>VLOOKUP(C158,Products!$A$2:$H$16,5,FALSE)</f>
        <v>1934</v>
      </c>
      <c r="J158" s="29">
        <f>VLOOKUP(C158,Products!$A$2:$H$16,6,FALSE)</f>
        <v>650</v>
      </c>
      <c r="K158" s="32">
        <f>VLOOKUP(C158,Products!$A$2:$H$16,7,FALSE)</f>
        <v>0.2</v>
      </c>
      <c r="L158" s="29">
        <f>VLOOKUP(C158,Products!$A$2:$H$16,8,FALSE)</f>
        <v>780</v>
      </c>
      <c r="M158" s="41">
        <f t="shared" si="6"/>
        <v>4</v>
      </c>
      <c r="N158" s="43">
        <f t="shared" si="7"/>
        <v>7020</v>
      </c>
      <c r="O158" s="43">
        <f t="shared" si="8"/>
        <v>5850</v>
      </c>
    </row>
    <row r="159" spans="1:15" x14ac:dyDescent="0.25">
      <c r="A159" s="31">
        <v>41372</v>
      </c>
      <c r="B159" t="s">
        <v>33</v>
      </c>
      <c r="C159" s="30">
        <v>9</v>
      </c>
      <c r="D159" s="30" t="s">
        <v>38</v>
      </c>
      <c r="E159" s="30">
        <v>12</v>
      </c>
      <c r="F159" t="str">
        <f>VLOOKUP(C159,Products!$A$2:$H$16,2,FALSE)</f>
        <v>A Guide to Health</v>
      </c>
      <c r="G159" t="str">
        <f>VLOOKUP(C159,Products!$A$2:$H$16,3,FALSE)</f>
        <v>Mahatma Gandhi</v>
      </c>
      <c r="H159" t="str">
        <f>VLOOKUP(C159,Products!$A$2:$H$16,4,FALSE)</f>
        <v>Soft Cover</v>
      </c>
      <c r="I159">
        <f>VLOOKUP(C159,Products!$A$2:$H$16,5,FALSE)</f>
        <v>1921</v>
      </c>
      <c r="J159" s="29">
        <f>VLOOKUP(C159,Products!$A$2:$H$16,6,FALSE)</f>
        <v>220</v>
      </c>
      <c r="K159" s="32">
        <f>VLOOKUP(C159,Products!$A$2:$H$16,7,FALSE)</f>
        <v>0.15</v>
      </c>
      <c r="L159" s="29">
        <f>VLOOKUP(C159,Products!$A$2:$H$16,8,FALSE)</f>
        <v>253</v>
      </c>
      <c r="M159" s="41">
        <f t="shared" si="6"/>
        <v>4</v>
      </c>
      <c r="N159" s="43">
        <f t="shared" si="7"/>
        <v>3036</v>
      </c>
      <c r="O159" s="43">
        <f t="shared" si="8"/>
        <v>2640</v>
      </c>
    </row>
    <row r="160" spans="1:15" x14ac:dyDescent="0.25">
      <c r="A160" s="31">
        <v>41372</v>
      </c>
      <c r="B160" t="s">
        <v>40</v>
      </c>
      <c r="C160" s="30">
        <v>1</v>
      </c>
      <c r="D160" s="30" t="s">
        <v>38</v>
      </c>
      <c r="E160" s="30">
        <v>1</v>
      </c>
      <c r="F160" t="str">
        <f>VLOOKUP(C160,Products!$A$2:$H$16,2,FALSE)</f>
        <v>The Discovery of India</v>
      </c>
      <c r="G160" t="str">
        <f>VLOOKUP(C160,Products!$A$2:$H$16,3,FALSE)</f>
        <v>Jawaharlal Nehru</v>
      </c>
      <c r="H160" t="str">
        <f>VLOOKUP(C160,Products!$A$2:$H$16,4,FALSE)</f>
        <v>Hard Cover</v>
      </c>
      <c r="I160">
        <f>VLOOKUP(C160,Products!$A$2:$H$16,5,FALSE)</f>
        <v>1946</v>
      </c>
      <c r="J160" s="29">
        <f>VLOOKUP(C160,Products!$A$2:$H$16,6,FALSE)</f>
        <v>599.95000000000005</v>
      </c>
      <c r="K160" s="32">
        <f>VLOOKUP(C160,Products!$A$2:$H$16,7,FALSE)</f>
        <v>0.3</v>
      </c>
      <c r="L160" s="29">
        <f>VLOOKUP(C160,Products!$A$2:$H$16,8,FALSE)</f>
        <v>779.93500000000006</v>
      </c>
      <c r="M160" s="41">
        <f t="shared" si="6"/>
        <v>4</v>
      </c>
      <c r="N160" s="43">
        <f t="shared" si="7"/>
        <v>779.93500000000006</v>
      </c>
      <c r="O160" s="43">
        <f t="shared" si="8"/>
        <v>599.95000000000005</v>
      </c>
    </row>
    <row r="161" spans="1:15" x14ac:dyDescent="0.25">
      <c r="A161" s="31">
        <v>41374</v>
      </c>
      <c r="B161" t="s">
        <v>40</v>
      </c>
      <c r="C161" s="30">
        <v>13</v>
      </c>
      <c r="D161" s="30" t="s">
        <v>38</v>
      </c>
      <c r="E161" s="30">
        <v>12</v>
      </c>
      <c r="F161" t="str">
        <f>VLOOKUP(C161,Products!$A$2:$H$16,2,FALSE)</f>
        <v>Glimpses of World History</v>
      </c>
      <c r="G161" t="str">
        <f>VLOOKUP(C161,Products!$A$2:$H$16,3,FALSE)</f>
        <v>Jawaharlal Nehru</v>
      </c>
      <c r="H161" t="str">
        <f>VLOOKUP(C161,Products!$A$2:$H$16,4,FALSE)</f>
        <v>e-book</v>
      </c>
      <c r="I161">
        <f>VLOOKUP(C161,Products!$A$2:$H$16,5,FALSE)</f>
        <v>2005</v>
      </c>
      <c r="J161" s="29">
        <f>VLOOKUP(C161,Products!$A$2:$H$16,6,FALSE)</f>
        <v>300</v>
      </c>
      <c r="K161" s="32">
        <f>VLOOKUP(C161,Products!$A$2:$H$16,7,FALSE)</f>
        <v>0.2</v>
      </c>
      <c r="L161" s="29">
        <f>VLOOKUP(C161,Products!$A$2:$H$16,8,FALSE)</f>
        <v>360</v>
      </c>
      <c r="M161" s="41">
        <f t="shared" si="6"/>
        <v>4</v>
      </c>
      <c r="N161" s="43">
        <f t="shared" si="7"/>
        <v>4320</v>
      </c>
      <c r="O161" s="43">
        <f t="shared" si="8"/>
        <v>3600</v>
      </c>
    </row>
    <row r="162" spans="1:15" x14ac:dyDescent="0.25">
      <c r="A162" s="31">
        <v>41375</v>
      </c>
      <c r="B162" t="s">
        <v>36</v>
      </c>
      <c r="C162" s="30">
        <v>14</v>
      </c>
      <c r="D162" s="30" t="s">
        <v>38</v>
      </c>
      <c r="E162" s="30">
        <v>14</v>
      </c>
      <c r="F162" t="str">
        <f>VLOOKUP(C162,Products!$A$2:$H$16,2,FALSE)</f>
        <v>A Guide to Health</v>
      </c>
      <c r="G162" t="str">
        <f>VLOOKUP(C162,Products!$A$2:$H$16,3,FALSE)</f>
        <v>Mahatma Gandhi</v>
      </c>
      <c r="H162" t="str">
        <f>VLOOKUP(C162,Products!$A$2:$H$16,4,FALSE)</f>
        <v>e-book</v>
      </c>
      <c r="I162">
        <f>VLOOKUP(C162,Products!$A$2:$H$16,5,FALSE)</f>
        <v>2005</v>
      </c>
      <c r="J162" s="29">
        <f>VLOOKUP(C162,Products!$A$2:$H$16,6,FALSE)</f>
        <v>105</v>
      </c>
      <c r="K162" s="32">
        <f>VLOOKUP(C162,Products!$A$2:$H$16,7,FALSE)</f>
        <v>0.15</v>
      </c>
      <c r="L162" s="29">
        <f>VLOOKUP(C162,Products!$A$2:$H$16,8,FALSE)</f>
        <v>120.75</v>
      </c>
      <c r="M162" s="41">
        <f t="shared" si="6"/>
        <v>4</v>
      </c>
      <c r="N162" s="43">
        <f t="shared" si="7"/>
        <v>1690.5</v>
      </c>
      <c r="O162" s="43">
        <f t="shared" si="8"/>
        <v>1470</v>
      </c>
    </row>
    <row r="163" spans="1:15" x14ac:dyDescent="0.25">
      <c r="A163" s="31">
        <v>41375</v>
      </c>
      <c r="B163" t="s">
        <v>36</v>
      </c>
      <c r="C163" s="30">
        <v>3</v>
      </c>
      <c r="D163" s="30" t="s">
        <v>34</v>
      </c>
      <c r="E163" s="30">
        <v>2</v>
      </c>
      <c r="F163" t="str">
        <f>VLOOKUP(C163,Products!$A$2:$H$16,2,FALSE)</f>
        <v>Glimpses of World History</v>
      </c>
      <c r="G163" t="str">
        <f>VLOOKUP(C163,Products!$A$2:$H$16,3,FALSE)</f>
        <v>Jawaharlal Nehru</v>
      </c>
      <c r="H163" t="str">
        <f>VLOOKUP(C163,Products!$A$2:$H$16,4,FALSE)</f>
        <v>Hard Cover</v>
      </c>
      <c r="I163">
        <f>VLOOKUP(C163,Products!$A$2:$H$16,5,FALSE)</f>
        <v>1934</v>
      </c>
      <c r="J163" s="29">
        <f>VLOOKUP(C163,Products!$A$2:$H$16,6,FALSE)</f>
        <v>750.45899999999995</v>
      </c>
      <c r="K163" s="32">
        <f>VLOOKUP(C163,Products!$A$2:$H$16,7,FALSE)</f>
        <v>0.2</v>
      </c>
      <c r="L163" s="29">
        <f>VLOOKUP(C163,Products!$A$2:$H$16,8,FALSE)</f>
        <v>900.55079999999998</v>
      </c>
      <c r="M163" s="41">
        <f t="shared" si="6"/>
        <v>4</v>
      </c>
      <c r="N163" s="43">
        <f t="shared" si="7"/>
        <v>1801.1016</v>
      </c>
      <c r="O163" s="43">
        <f t="shared" si="8"/>
        <v>1500.9179999999999</v>
      </c>
    </row>
    <row r="164" spans="1:15" x14ac:dyDescent="0.25">
      <c r="A164" s="31">
        <v>41375</v>
      </c>
      <c r="B164" t="s">
        <v>37</v>
      </c>
      <c r="C164" s="30">
        <v>3</v>
      </c>
      <c r="D164" s="30" t="s">
        <v>38</v>
      </c>
      <c r="E164" s="30">
        <v>13</v>
      </c>
      <c r="F164" t="str">
        <f>VLOOKUP(C164,Products!$A$2:$H$16,2,FALSE)</f>
        <v>Glimpses of World History</v>
      </c>
      <c r="G164" t="str">
        <f>VLOOKUP(C164,Products!$A$2:$H$16,3,FALSE)</f>
        <v>Jawaharlal Nehru</v>
      </c>
      <c r="H164" t="str">
        <f>VLOOKUP(C164,Products!$A$2:$H$16,4,FALSE)</f>
        <v>Hard Cover</v>
      </c>
      <c r="I164">
        <f>VLOOKUP(C164,Products!$A$2:$H$16,5,FALSE)</f>
        <v>1934</v>
      </c>
      <c r="J164" s="29">
        <f>VLOOKUP(C164,Products!$A$2:$H$16,6,FALSE)</f>
        <v>750.45899999999995</v>
      </c>
      <c r="K164" s="32">
        <f>VLOOKUP(C164,Products!$A$2:$H$16,7,FALSE)</f>
        <v>0.2</v>
      </c>
      <c r="L164" s="29">
        <f>VLOOKUP(C164,Products!$A$2:$H$16,8,FALSE)</f>
        <v>900.55079999999998</v>
      </c>
      <c r="M164" s="41">
        <f t="shared" si="6"/>
        <v>4</v>
      </c>
      <c r="N164" s="43">
        <f t="shared" si="7"/>
        <v>11707.160400000001</v>
      </c>
      <c r="O164" s="43">
        <f t="shared" si="8"/>
        <v>9755.9669999999987</v>
      </c>
    </row>
    <row r="165" spans="1:15" x14ac:dyDescent="0.25">
      <c r="A165" s="31">
        <v>41375</v>
      </c>
      <c r="B165" t="s">
        <v>40</v>
      </c>
      <c r="C165" s="30">
        <v>11</v>
      </c>
      <c r="D165" s="30" t="s">
        <v>38</v>
      </c>
      <c r="E165" s="30">
        <v>7</v>
      </c>
      <c r="F165" t="str">
        <f>VLOOKUP(C165,Products!$A$2:$H$16,2,FALSE)</f>
        <v>The Discovery of India</v>
      </c>
      <c r="G165" t="str">
        <f>VLOOKUP(C165,Products!$A$2:$H$16,3,FALSE)</f>
        <v>Jawaharlal Nehru</v>
      </c>
      <c r="H165" t="str">
        <f>VLOOKUP(C165,Products!$A$2:$H$16,4,FALSE)</f>
        <v>e-book</v>
      </c>
      <c r="I165">
        <f>VLOOKUP(C165,Products!$A$2:$H$16,5,FALSE)</f>
        <v>2004</v>
      </c>
      <c r="J165" s="29">
        <f>VLOOKUP(C165,Products!$A$2:$H$16,6,FALSE)</f>
        <v>250</v>
      </c>
      <c r="K165" s="32">
        <f>VLOOKUP(C165,Products!$A$2:$H$16,7,FALSE)</f>
        <v>0.3</v>
      </c>
      <c r="L165" s="29">
        <f>VLOOKUP(C165,Products!$A$2:$H$16,8,FALSE)</f>
        <v>325</v>
      </c>
      <c r="M165" s="41">
        <f t="shared" si="6"/>
        <v>4</v>
      </c>
      <c r="N165" s="43">
        <f t="shared" si="7"/>
        <v>2275</v>
      </c>
      <c r="O165" s="43">
        <f t="shared" si="8"/>
        <v>1750</v>
      </c>
    </row>
    <row r="166" spans="1:15" x14ac:dyDescent="0.25">
      <c r="A166" s="31">
        <v>41376</v>
      </c>
      <c r="B166" t="s">
        <v>33</v>
      </c>
      <c r="C166" s="30">
        <v>5</v>
      </c>
      <c r="D166" s="30" t="s">
        <v>34</v>
      </c>
      <c r="E166" s="30">
        <v>19</v>
      </c>
      <c r="F166" t="str">
        <f>VLOOKUP(C166,Products!$A$2:$H$16,2,FALSE)</f>
        <v>Wings of Fire</v>
      </c>
      <c r="G166" t="str">
        <f>VLOOKUP(C166,Products!$A$2:$H$16,3,FALSE)</f>
        <v>APJ Abdul Kalam,
Arun Tiwari</v>
      </c>
      <c r="H166" t="str">
        <f>VLOOKUP(C166,Products!$A$2:$H$16,4,FALSE)</f>
        <v>Hard Cover</v>
      </c>
      <c r="I166">
        <f>VLOOKUP(C166,Products!$A$2:$H$16,5,FALSE)</f>
        <v>1999</v>
      </c>
      <c r="J166" s="29">
        <f>VLOOKUP(C166,Products!$A$2:$H$16,6,FALSE)</f>
        <v>1275.2488000000001</v>
      </c>
      <c r="K166" s="32">
        <f>VLOOKUP(C166,Products!$A$2:$H$16,7,FALSE)</f>
        <v>0.1</v>
      </c>
      <c r="L166" s="29">
        <f>VLOOKUP(C166,Products!$A$2:$H$16,8,FALSE)</f>
        <v>1402.77368</v>
      </c>
      <c r="M166" s="41">
        <f t="shared" si="6"/>
        <v>4</v>
      </c>
      <c r="N166" s="43">
        <f t="shared" si="7"/>
        <v>26652.699919999999</v>
      </c>
      <c r="O166" s="43">
        <f t="shared" si="8"/>
        <v>24229.727200000001</v>
      </c>
    </row>
    <row r="167" spans="1:15" x14ac:dyDescent="0.25">
      <c r="A167" s="31">
        <v>41378</v>
      </c>
      <c r="B167" t="s">
        <v>35</v>
      </c>
      <c r="C167" s="30">
        <v>15</v>
      </c>
      <c r="D167" s="30" t="s">
        <v>34</v>
      </c>
      <c r="E167" s="30">
        <v>1</v>
      </c>
      <c r="F167" t="str">
        <f>VLOOKUP(C167,Products!$A$2:$H$16,2,FALSE)</f>
        <v>Wings of Fire</v>
      </c>
      <c r="G167" t="str">
        <f>VLOOKUP(C167,Products!$A$2:$H$16,3,FALSE)</f>
        <v>APJ Abdul Kalam,
Arun Tiwari</v>
      </c>
      <c r="H167" t="str">
        <f>VLOOKUP(C167,Products!$A$2:$H$16,4,FALSE)</f>
        <v>e-book</v>
      </c>
      <c r="I167">
        <f>VLOOKUP(C167,Products!$A$2:$H$16,5,FALSE)</f>
        <v>2005</v>
      </c>
      <c r="J167" s="29">
        <f>VLOOKUP(C167,Products!$A$2:$H$16,6,FALSE)</f>
        <v>500</v>
      </c>
      <c r="K167" s="32">
        <f>VLOOKUP(C167,Products!$A$2:$H$16,7,FALSE)</f>
        <v>0.1</v>
      </c>
      <c r="L167" s="29">
        <f>VLOOKUP(C167,Products!$A$2:$H$16,8,FALSE)</f>
        <v>550</v>
      </c>
      <c r="M167" s="41">
        <f t="shared" si="6"/>
        <v>4</v>
      </c>
      <c r="N167" s="43">
        <f t="shared" si="7"/>
        <v>550</v>
      </c>
      <c r="O167" s="43">
        <f t="shared" si="8"/>
        <v>500</v>
      </c>
    </row>
    <row r="168" spans="1:15" x14ac:dyDescent="0.25">
      <c r="A168" s="31">
        <v>41379</v>
      </c>
      <c r="B168" t="s">
        <v>41</v>
      </c>
      <c r="C168" s="30">
        <v>9</v>
      </c>
      <c r="D168" s="30" t="s">
        <v>38</v>
      </c>
      <c r="E168" s="30">
        <v>14</v>
      </c>
      <c r="F168" t="str">
        <f>VLOOKUP(C168,Products!$A$2:$H$16,2,FALSE)</f>
        <v>A Guide to Health</v>
      </c>
      <c r="G168" t="str">
        <f>VLOOKUP(C168,Products!$A$2:$H$16,3,FALSE)</f>
        <v>Mahatma Gandhi</v>
      </c>
      <c r="H168" t="str">
        <f>VLOOKUP(C168,Products!$A$2:$H$16,4,FALSE)</f>
        <v>Soft Cover</v>
      </c>
      <c r="I168">
        <f>VLOOKUP(C168,Products!$A$2:$H$16,5,FALSE)</f>
        <v>1921</v>
      </c>
      <c r="J168" s="29">
        <f>VLOOKUP(C168,Products!$A$2:$H$16,6,FALSE)</f>
        <v>220</v>
      </c>
      <c r="K168" s="32">
        <f>VLOOKUP(C168,Products!$A$2:$H$16,7,FALSE)</f>
        <v>0.15</v>
      </c>
      <c r="L168" s="29">
        <f>VLOOKUP(C168,Products!$A$2:$H$16,8,FALSE)</f>
        <v>253</v>
      </c>
      <c r="M168" s="41">
        <f t="shared" si="6"/>
        <v>4</v>
      </c>
      <c r="N168" s="43">
        <f t="shared" si="7"/>
        <v>3542</v>
      </c>
      <c r="O168" s="43">
        <f t="shared" si="8"/>
        <v>3080</v>
      </c>
    </row>
    <row r="169" spans="1:15" x14ac:dyDescent="0.25">
      <c r="A169" s="31">
        <v>41379</v>
      </c>
      <c r="B169" t="s">
        <v>40</v>
      </c>
      <c r="C169" s="30">
        <v>13</v>
      </c>
      <c r="D169" s="30" t="s">
        <v>38</v>
      </c>
      <c r="E169" s="30">
        <v>10</v>
      </c>
      <c r="F169" t="str">
        <f>VLOOKUP(C169,Products!$A$2:$H$16,2,FALSE)</f>
        <v>Glimpses of World History</v>
      </c>
      <c r="G169" t="str">
        <f>VLOOKUP(C169,Products!$A$2:$H$16,3,FALSE)</f>
        <v>Jawaharlal Nehru</v>
      </c>
      <c r="H169" t="str">
        <f>VLOOKUP(C169,Products!$A$2:$H$16,4,FALSE)</f>
        <v>e-book</v>
      </c>
      <c r="I169">
        <f>VLOOKUP(C169,Products!$A$2:$H$16,5,FALSE)</f>
        <v>2005</v>
      </c>
      <c r="J169" s="29">
        <f>VLOOKUP(C169,Products!$A$2:$H$16,6,FALSE)</f>
        <v>300</v>
      </c>
      <c r="K169" s="32">
        <f>VLOOKUP(C169,Products!$A$2:$H$16,7,FALSE)</f>
        <v>0.2</v>
      </c>
      <c r="L169" s="29">
        <f>VLOOKUP(C169,Products!$A$2:$H$16,8,FALSE)</f>
        <v>360</v>
      </c>
      <c r="M169" s="41">
        <f t="shared" si="6"/>
        <v>4</v>
      </c>
      <c r="N169" s="43">
        <f t="shared" si="7"/>
        <v>3600</v>
      </c>
      <c r="O169" s="43">
        <f t="shared" si="8"/>
        <v>3000</v>
      </c>
    </row>
    <row r="170" spans="1:15" x14ac:dyDescent="0.25">
      <c r="A170" s="31">
        <v>41379</v>
      </c>
      <c r="B170" t="s">
        <v>40</v>
      </c>
      <c r="C170" s="30">
        <v>11</v>
      </c>
      <c r="D170" s="30" t="s">
        <v>34</v>
      </c>
      <c r="E170" s="30">
        <v>10</v>
      </c>
      <c r="F170" t="str">
        <f>VLOOKUP(C170,Products!$A$2:$H$16,2,FALSE)</f>
        <v>The Discovery of India</v>
      </c>
      <c r="G170" t="str">
        <f>VLOOKUP(C170,Products!$A$2:$H$16,3,FALSE)</f>
        <v>Jawaharlal Nehru</v>
      </c>
      <c r="H170" t="str">
        <f>VLOOKUP(C170,Products!$A$2:$H$16,4,FALSE)</f>
        <v>e-book</v>
      </c>
      <c r="I170">
        <f>VLOOKUP(C170,Products!$A$2:$H$16,5,FALSE)</f>
        <v>2004</v>
      </c>
      <c r="J170" s="29">
        <f>VLOOKUP(C170,Products!$A$2:$H$16,6,FALSE)</f>
        <v>250</v>
      </c>
      <c r="K170" s="32">
        <f>VLOOKUP(C170,Products!$A$2:$H$16,7,FALSE)</f>
        <v>0.3</v>
      </c>
      <c r="L170" s="29">
        <f>VLOOKUP(C170,Products!$A$2:$H$16,8,FALSE)</f>
        <v>325</v>
      </c>
      <c r="M170" s="41">
        <f t="shared" si="6"/>
        <v>4</v>
      </c>
      <c r="N170" s="43">
        <f t="shared" si="7"/>
        <v>3250</v>
      </c>
      <c r="O170" s="43">
        <f t="shared" si="8"/>
        <v>2500</v>
      </c>
    </row>
    <row r="171" spans="1:15" x14ac:dyDescent="0.25">
      <c r="A171" s="31">
        <v>41380</v>
      </c>
      <c r="B171" t="s">
        <v>42</v>
      </c>
      <c r="C171" s="30">
        <v>3</v>
      </c>
      <c r="D171" s="30" t="s">
        <v>38</v>
      </c>
      <c r="E171" s="30">
        <v>16</v>
      </c>
      <c r="F171" t="str">
        <f>VLOOKUP(C171,Products!$A$2:$H$16,2,FALSE)</f>
        <v>Glimpses of World History</v>
      </c>
      <c r="G171" t="str">
        <f>VLOOKUP(C171,Products!$A$2:$H$16,3,FALSE)</f>
        <v>Jawaharlal Nehru</v>
      </c>
      <c r="H171" t="str">
        <f>VLOOKUP(C171,Products!$A$2:$H$16,4,FALSE)</f>
        <v>Hard Cover</v>
      </c>
      <c r="I171">
        <f>VLOOKUP(C171,Products!$A$2:$H$16,5,FALSE)</f>
        <v>1934</v>
      </c>
      <c r="J171" s="29">
        <f>VLOOKUP(C171,Products!$A$2:$H$16,6,FALSE)</f>
        <v>750.45899999999995</v>
      </c>
      <c r="K171" s="32">
        <f>VLOOKUP(C171,Products!$A$2:$H$16,7,FALSE)</f>
        <v>0.2</v>
      </c>
      <c r="L171" s="29">
        <f>VLOOKUP(C171,Products!$A$2:$H$16,8,FALSE)</f>
        <v>900.55079999999998</v>
      </c>
      <c r="M171" s="41">
        <f t="shared" si="6"/>
        <v>4</v>
      </c>
      <c r="N171" s="43">
        <f t="shared" si="7"/>
        <v>14408.8128</v>
      </c>
      <c r="O171" s="43">
        <f t="shared" si="8"/>
        <v>12007.343999999999</v>
      </c>
    </row>
    <row r="172" spans="1:15" x14ac:dyDescent="0.25">
      <c r="A172" s="31">
        <v>41382</v>
      </c>
      <c r="B172" t="s">
        <v>40</v>
      </c>
      <c r="C172" s="30">
        <v>1</v>
      </c>
      <c r="D172" s="30" t="s">
        <v>38</v>
      </c>
      <c r="E172" s="30">
        <v>12</v>
      </c>
      <c r="F172" t="str">
        <f>VLOOKUP(C172,Products!$A$2:$H$16,2,FALSE)</f>
        <v>The Discovery of India</v>
      </c>
      <c r="G172" t="str">
        <f>VLOOKUP(C172,Products!$A$2:$H$16,3,FALSE)</f>
        <v>Jawaharlal Nehru</v>
      </c>
      <c r="H172" t="str">
        <f>VLOOKUP(C172,Products!$A$2:$H$16,4,FALSE)</f>
        <v>Hard Cover</v>
      </c>
      <c r="I172">
        <f>VLOOKUP(C172,Products!$A$2:$H$16,5,FALSE)</f>
        <v>1946</v>
      </c>
      <c r="J172" s="29">
        <f>VLOOKUP(C172,Products!$A$2:$H$16,6,FALSE)</f>
        <v>599.95000000000005</v>
      </c>
      <c r="K172" s="32">
        <f>VLOOKUP(C172,Products!$A$2:$H$16,7,FALSE)</f>
        <v>0.3</v>
      </c>
      <c r="L172" s="29">
        <f>VLOOKUP(C172,Products!$A$2:$H$16,8,FALSE)</f>
        <v>779.93500000000006</v>
      </c>
      <c r="M172" s="41">
        <f t="shared" si="6"/>
        <v>4</v>
      </c>
      <c r="N172" s="43">
        <f t="shared" si="7"/>
        <v>9359.2200000000012</v>
      </c>
      <c r="O172" s="43">
        <f t="shared" si="8"/>
        <v>7199.4000000000005</v>
      </c>
    </row>
    <row r="173" spans="1:15" x14ac:dyDescent="0.25">
      <c r="A173" s="31">
        <v>41382</v>
      </c>
      <c r="B173" t="s">
        <v>40</v>
      </c>
      <c r="C173" s="30">
        <v>5</v>
      </c>
      <c r="D173" s="30" t="s">
        <v>38</v>
      </c>
      <c r="E173" s="30">
        <v>2</v>
      </c>
      <c r="F173" t="str">
        <f>VLOOKUP(C173,Products!$A$2:$H$16,2,FALSE)</f>
        <v>Wings of Fire</v>
      </c>
      <c r="G173" t="str">
        <f>VLOOKUP(C173,Products!$A$2:$H$16,3,FALSE)</f>
        <v>APJ Abdul Kalam,
Arun Tiwari</v>
      </c>
      <c r="H173" t="str">
        <f>VLOOKUP(C173,Products!$A$2:$H$16,4,FALSE)</f>
        <v>Hard Cover</v>
      </c>
      <c r="I173">
        <f>VLOOKUP(C173,Products!$A$2:$H$16,5,FALSE)</f>
        <v>1999</v>
      </c>
      <c r="J173" s="29">
        <f>VLOOKUP(C173,Products!$A$2:$H$16,6,FALSE)</f>
        <v>1275.2488000000001</v>
      </c>
      <c r="K173" s="32">
        <f>VLOOKUP(C173,Products!$A$2:$H$16,7,FALSE)</f>
        <v>0.1</v>
      </c>
      <c r="L173" s="29">
        <f>VLOOKUP(C173,Products!$A$2:$H$16,8,FALSE)</f>
        <v>1402.77368</v>
      </c>
      <c r="M173" s="41">
        <f t="shared" si="6"/>
        <v>4</v>
      </c>
      <c r="N173" s="43">
        <f t="shared" si="7"/>
        <v>2805.54736</v>
      </c>
      <c r="O173" s="43">
        <f t="shared" si="8"/>
        <v>2550.4976000000001</v>
      </c>
    </row>
    <row r="174" spans="1:15" x14ac:dyDescent="0.25">
      <c r="A174" s="31">
        <v>41383</v>
      </c>
      <c r="B174" t="s">
        <v>42</v>
      </c>
      <c r="C174" s="30">
        <v>12</v>
      </c>
      <c r="D174" s="30" t="s">
        <v>38</v>
      </c>
      <c r="E174" s="30">
        <v>20</v>
      </c>
      <c r="F174" t="str">
        <f>VLOOKUP(C174,Products!$A$2:$H$16,2,FALSE)</f>
        <v>The Story of my Experiments with Truth</v>
      </c>
      <c r="G174" t="str">
        <f>VLOOKUP(C174,Products!$A$2:$H$16,3,FALSE)</f>
        <v>Mahatma Gandhi</v>
      </c>
      <c r="H174" t="str">
        <f>VLOOKUP(C174,Products!$A$2:$H$16,4,FALSE)</f>
        <v>e-book</v>
      </c>
      <c r="I174">
        <f>VLOOKUP(C174,Products!$A$2:$H$16,5,FALSE)</f>
        <v>2004</v>
      </c>
      <c r="J174" s="29">
        <f>VLOOKUP(C174,Products!$A$2:$H$16,6,FALSE)</f>
        <v>50</v>
      </c>
      <c r="K174" s="32">
        <f>VLOOKUP(C174,Products!$A$2:$H$16,7,FALSE)</f>
        <v>0.3</v>
      </c>
      <c r="L174" s="29">
        <f>VLOOKUP(C174,Products!$A$2:$H$16,8,FALSE)</f>
        <v>65</v>
      </c>
      <c r="M174" s="41">
        <f t="shared" si="6"/>
        <v>4</v>
      </c>
      <c r="N174" s="43">
        <f t="shared" si="7"/>
        <v>1300</v>
      </c>
      <c r="O174" s="43">
        <f t="shared" si="8"/>
        <v>1000</v>
      </c>
    </row>
    <row r="175" spans="1:15" x14ac:dyDescent="0.25">
      <c r="A175" s="31">
        <v>41384</v>
      </c>
      <c r="B175" t="s">
        <v>42</v>
      </c>
      <c r="C175" s="30">
        <v>9</v>
      </c>
      <c r="D175" s="30" t="s">
        <v>38</v>
      </c>
      <c r="E175" s="30">
        <v>6</v>
      </c>
      <c r="F175" t="str">
        <f>VLOOKUP(C175,Products!$A$2:$H$16,2,FALSE)</f>
        <v>A Guide to Health</v>
      </c>
      <c r="G175" t="str">
        <f>VLOOKUP(C175,Products!$A$2:$H$16,3,FALSE)</f>
        <v>Mahatma Gandhi</v>
      </c>
      <c r="H175" t="str">
        <f>VLOOKUP(C175,Products!$A$2:$H$16,4,FALSE)</f>
        <v>Soft Cover</v>
      </c>
      <c r="I175">
        <f>VLOOKUP(C175,Products!$A$2:$H$16,5,FALSE)</f>
        <v>1921</v>
      </c>
      <c r="J175" s="29">
        <f>VLOOKUP(C175,Products!$A$2:$H$16,6,FALSE)</f>
        <v>220</v>
      </c>
      <c r="K175" s="32">
        <f>VLOOKUP(C175,Products!$A$2:$H$16,7,FALSE)</f>
        <v>0.15</v>
      </c>
      <c r="L175" s="29">
        <f>VLOOKUP(C175,Products!$A$2:$H$16,8,FALSE)</f>
        <v>253</v>
      </c>
      <c r="M175" s="41">
        <f t="shared" si="6"/>
        <v>4</v>
      </c>
      <c r="N175" s="43">
        <f t="shared" si="7"/>
        <v>1518</v>
      </c>
      <c r="O175" s="43">
        <f t="shared" si="8"/>
        <v>1320</v>
      </c>
    </row>
    <row r="176" spans="1:15" x14ac:dyDescent="0.25">
      <c r="A176" s="31">
        <v>41384</v>
      </c>
      <c r="B176" t="s">
        <v>40</v>
      </c>
      <c r="C176" s="30">
        <v>7</v>
      </c>
      <c r="D176" s="30" t="s">
        <v>38</v>
      </c>
      <c r="E176" s="30">
        <v>20</v>
      </c>
      <c r="F176" t="str">
        <f>VLOOKUP(C176,Products!$A$2:$H$16,2,FALSE)</f>
        <v>The Story of my Experiments with Truth</v>
      </c>
      <c r="G176" t="str">
        <f>VLOOKUP(C176,Products!$A$2:$H$16,3,FALSE)</f>
        <v>Mahatma Gandhi</v>
      </c>
      <c r="H176" t="str">
        <f>VLOOKUP(C176,Products!$A$2:$H$16,4,FALSE)</f>
        <v>Soft Cover</v>
      </c>
      <c r="I176">
        <f>VLOOKUP(C176,Products!$A$2:$H$16,5,FALSE)</f>
        <v>1927</v>
      </c>
      <c r="J176" s="29">
        <f>VLOOKUP(C176,Products!$A$2:$H$16,6,FALSE)</f>
        <v>109</v>
      </c>
      <c r="K176" s="32">
        <f>VLOOKUP(C176,Products!$A$2:$H$16,7,FALSE)</f>
        <v>0.3</v>
      </c>
      <c r="L176" s="29">
        <f>VLOOKUP(C176,Products!$A$2:$H$16,8,FALSE)</f>
        <v>141.69999999999999</v>
      </c>
      <c r="M176" s="41">
        <f t="shared" si="6"/>
        <v>4</v>
      </c>
      <c r="N176" s="43">
        <f t="shared" si="7"/>
        <v>2834</v>
      </c>
      <c r="O176" s="43">
        <f t="shared" si="8"/>
        <v>2180</v>
      </c>
    </row>
    <row r="177" spans="1:15" x14ac:dyDescent="0.25">
      <c r="A177" s="31">
        <v>41385</v>
      </c>
      <c r="B177" t="s">
        <v>39</v>
      </c>
      <c r="C177" s="30">
        <v>5</v>
      </c>
      <c r="D177" s="30" t="s">
        <v>34</v>
      </c>
      <c r="E177" s="30">
        <v>12</v>
      </c>
      <c r="F177" t="str">
        <f>VLOOKUP(C177,Products!$A$2:$H$16,2,FALSE)</f>
        <v>Wings of Fire</v>
      </c>
      <c r="G177" t="str">
        <f>VLOOKUP(C177,Products!$A$2:$H$16,3,FALSE)</f>
        <v>APJ Abdul Kalam,
Arun Tiwari</v>
      </c>
      <c r="H177" t="str">
        <f>VLOOKUP(C177,Products!$A$2:$H$16,4,FALSE)</f>
        <v>Hard Cover</v>
      </c>
      <c r="I177">
        <f>VLOOKUP(C177,Products!$A$2:$H$16,5,FALSE)</f>
        <v>1999</v>
      </c>
      <c r="J177" s="29">
        <f>VLOOKUP(C177,Products!$A$2:$H$16,6,FALSE)</f>
        <v>1275.2488000000001</v>
      </c>
      <c r="K177" s="32">
        <f>VLOOKUP(C177,Products!$A$2:$H$16,7,FALSE)</f>
        <v>0.1</v>
      </c>
      <c r="L177" s="29">
        <f>VLOOKUP(C177,Products!$A$2:$H$16,8,FALSE)</f>
        <v>1402.77368</v>
      </c>
      <c r="M177" s="41">
        <f t="shared" si="6"/>
        <v>4</v>
      </c>
      <c r="N177" s="43">
        <f t="shared" si="7"/>
        <v>16833.284159999999</v>
      </c>
      <c r="O177" s="43">
        <f t="shared" si="8"/>
        <v>15302.9856</v>
      </c>
    </row>
    <row r="178" spans="1:15" x14ac:dyDescent="0.25">
      <c r="A178" s="31">
        <v>41385</v>
      </c>
      <c r="B178" t="s">
        <v>37</v>
      </c>
      <c r="C178" s="30">
        <v>1</v>
      </c>
      <c r="D178" s="30" t="s">
        <v>34</v>
      </c>
      <c r="E178" s="30">
        <v>9</v>
      </c>
      <c r="F178" t="str">
        <f>VLOOKUP(C178,Products!$A$2:$H$16,2,FALSE)</f>
        <v>The Discovery of India</v>
      </c>
      <c r="G178" t="str">
        <f>VLOOKUP(C178,Products!$A$2:$H$16,3,FALSE)</f>
        <v>Jawaharlal Nehru</v>
      </c>
      <c r="H178" t="str">
        <f>VLOOKUP(C178,Products!$A$2:$H$16,4,FALSE)</f>
        <v>Hard Cover</v>
      </c>
      <c r="I178">
        <f>VLOOKUP(C178,Products!$A$2:$H$16,5,FALSE)</f>
        <v>1946</v>
      </c>
      <c r="J178" s="29">
        <f>VLOOKUP(C178,Products!$A$2:$H$16,6,FALSE)</f>
        <v>599.95000000000005</v>
      </c>
      <c r="K178" s="32">
        <f>VLOOKUP(C178,Products!$A$2:$H$16,7,FALSE)</f>
        <v>0.3</v>
      </c>
      <c r="L178" s="29">
        <f>VLOOKUP(C178,Products!$A$2:$H$16,8,FALSE)</f>
        <v>779.93500000000006</v>
      </c>
      <c r="M178" s="41">
        <f t="shared" si="6"/>
        <v>4</v>
      </c>
      <c r="N178" s="43">
        <f t="shared" si="7"/>
        <v>7019.4150000000009</v>
      </c>
      <c r="O178" s="43">
        <f t="shared" si="8"/>
        <v>5399.55</v>
      </c>
    </row>
    <row r="179" spans="1:15" x14ac:dyDescent="0.25">
      <c r="A179" s="31">
        <v>41387</v>
      </c>
      <c r="B179" t="s">
        <v>35</v>
      </c>
      <c r="C179" s="30">
        <v>14</v>
      </c>
      <c r="D179" s="30" t="s">
        <v>38</v>
      </c>
      <c r="E179" s="30">
        <v>7</v>
      </c>
      <c r="F179" t="str">
        <f>VLOOKUP(C179,Products!$A$2:$H$16,2,FALSE)</f>
        <v>A Guide to Health</v>
      </c>
      <c r="G179" t="str">
        <f>VLOOKUP(C179,Products!$A$2:$H$16,3,FALSE)</f>
        <v>Mahatma Gandhi</v>
      </c>
      <c r="H179" t="str">
        <f>VLOOKUP(C179,Products!$A$2:$H$16,4,FALSE)</f>
        <v>e-book</v>
      </c>
      <c r="I179">
        <f>VLOOKUP(C179,Products!$A$2:$H$16,5,FALSE)</f>
        <v>2005</v>
      </c>
      <c r="J179" s="29">
        <f>VLOOKUP(C179,Products!$A$2:$H$16,6,FALSE)</f>
        <v>105</v>
      </c>
      <c r="K179" s="32">
        <f>VLOOKUP(C179,Products!$A$2:$H$16,7,FALSE)</f>
        <v>0.15</v>
      </c>
      <c r="L179" s="29">
        <f>VLOOKUP(C179,Products!$A$2:$H$16,8,FALSE)</f>
        <v>120.75</v>
      </c>
      <c r="M179" s="41">
        <f t="shared" si="6"/>
        <v>4</v>
      </c>
      <c r="N179" s="43">
        <f t="shared" si="7"/>
        <v>845.25</v>
      </c>
      <c r="O179" s="43">
        <f t="shared" si="8"/>
        <v>735</v>
      </c>
    </row>
    <row r="180" spans="1:15" x14ac:dyDescent="0.25">
      <c r="A180" s="31">
        <v>41387</v>
      </c>
      <c r="B180" t="s">
        <v>41</v>
      </c>
      <c r="C180" s="30">
        <v>3</v>
      </c>
      <c r="D180" s="30" t="s">
        <v>34</v>
      </c>
      <c r="E180" s="30">
        <v>18</v>
      </c>
      <c r="F180" t="str">
        <f>VLOOKUP(C180,Products!$A$2:$H$16,2,FALSE)</f>
        <v>Glimpses of World History</v>
      </c>
      <c r="G180" t="str">
        <f>VLOOKUP(C180,Products!$A$2:$H$16,3,FALSE)</f>
        <v>Jawaharlal Nehru</v>
      </c>
      <c r="H180" t="str">
        <f>VLOOKUP(C180,Products!$A$2:$H$16,4,FALSE)</f>
        <v>Hard Cover</v>
      </c>
      <c r="I180">
        <f>VLOOKUP(C180,Products!$A$2:$H$16,5,FALSE)</f>
        <v>1934</v>
      </c>
      <c r="J180" s="29">
        <f>VLOOKUP(C180,Products!$A$2:$H$16,6,FALSE)</f>
        <v>750.45899999999995</v>
      </c>
      <c r="K180" s="32">
        <f>VLOOKUP(C180,Products!$A$2:$H$16,7,FALSE)</f>
        <v>0.2</v>
      </c>
      <c r="L180" s="29">
        <f>VLOOKUP(C180,Products!$A$2:$H$16,8,FALSE)</f>
        <v>900.55079999999998</v>
      </c>
      <c r="M180" s="41">
        <f t="shared" si="6"/>
        <v>4</v>
      </c>
      <c r="N180" s="43">
        <f t="shared" si="7"/>
        <v>16209.9144</v>
      </c>
      <c r="O180" s="43">
        <f t="shared" si="8"/>
        <v>13508.261999999999</v>
      </c>
    </row>
    <row r="181" spans="1:15" x14ac:dyDescent="0.25">
      <c r="A181" s="31">
        <v>41387</v>
      </c>
      <c r="B181" t="s">
        <v>42</v>
      </c>
      <c r="C181" s="30">
        <v>4</v>
      </c>
      <c r="D181" s="30" t="s">
        <v>38</v>
      </c>
      <c r="E181" s="30">
        <v>5</v>
      </c>
      <c r="F181" t="str">
        <f>VLOOKUP(C181,Products!$A$2:$H$16,2,FALSE)</f>
        <v>A Guide to Health</v>
      </c>
      <c r="G181" t="str">
        <f>VLOOKUP(C181,Products!$A$2:$H$16,3,FALSE)</f>
        <v>Mahatma Gandhi</v>
      </c>
      <c r="H181" t="str">
        <f>VLOOKUP(C181,Products!$A$2:$H$16,4,FALSE)</f>
        <v>Hard Cover</v>
      </c>
      <c r="I181">
        <f>VLOOKUP(C181,Products!$A$2:$H$16,5,FALSE)</f>
        <v>1921</v>
      </c>
      <c r="J181" s="29">
        <f>VLOOKUP(C181,Products!$A$2:$H$16,6,FALSE)</f>
        <v>250</v>
      </c>
      <c r="K181" s="32">
        <f>VLOOKUP(C181,Products!$A$2:$H$16,7,FALSE)</f>
        <v>0.15</v>
      </c>
      <c r="L181" s="29">
        <f>VLOOKUP(C181,Products!$A$2:$H$16,8,FALSE)</f>
        <v>287.5</v>
      </c>
      <c r="M181" s="41">
        <f t="shared" si="6"/>
        <v>4</v>
      </c>
      <c r="N181" s="43">
        <f t="shared" si="7"/>
        <v>1437.5</v>
      </c>
      <c r="O181" s="43">
        <f t="shared" si="8"/>
        <v>1250</v>
      </c>
    </row>
    <row r="182" spans="1:15" x14ac:dyDescent="0.25">
      <c r="A182" s="31">
        <v>41387</v>
      </c>
      <c r="B182" t="s">
        <v>36</v>
      </c>
      <c r="C182" s="30">
        <v>10</v>
      </c>
      <c r="D182" s="30" t="s">
        <v>34</v>
      </c>
      <c r="E182" s="30">
        <v>10</v>
      </c>
      <c r="F182" t="str">
        <f>VLOOKUP(C182,Products!$A$2:$H$16,2,FALSE)</f>
        <v>Wings of Fire</v>
      </c>
      <c r="G182" t="str">
        <f>VLOOKUP(C182,Products!$A$2:$H$16,3,FALSE)</f>
        <v>APJ Abdul Kalam,
Arun Tiwari</v>
      </c>
      <c r="H182" t="str">
        <f>VLOOKUP(C182,Products!$A$2:$H$16,4,FALSE)</f>
        <v>Soft Cover</v>
      </c>
      <c r="I182">
        <f>VLOOKUP(C182,Products!$A$2:$H$16,5,FALSE)</f>
        <v>1999</v>
      </c>
      <c r="J182" s="29">
        <f>VLOOKUP(C182,Products!$A$2:$H$16,6,FALSE)</f>
        <v>1200</v>
      </c>
      <c r="K182" s="32">
        <f>VLOOKUP(C182,Products!$A$2:$H$16,7,FALSE)</f>
        <v>0.1</v>
      </c>
      <c r="L182" s="29">
        <f>VLOOKUP(C182,Products!$A$2:$H$16,8,FALSE)</f>
        <v>1320</v>
      </c>
      <c r="M182" s="41">
        <f t="shared" si="6"/>
        <v>4</v>
      </c>
      <c r="N182" s="43">
        <f t="shared" si="7"/>
        <v>13200</v>
      </c>
      <c r="O182" s="43">
        <f t="shared" si="8"/>
        <v>12000</v>
      </c>
    </row>
    <row r="183" spans="1:15" x14ac:dyDescent="0.25">
      <c r="A183" s="31">
        <v>41388</v>
      </c>
      <c r="B183" t="s">
        <v>35</v>
      </c>
      <c r="C183" s="30">
        <v>4</v>
      </c>
      <c r="D183" s="30" t="s">
        <v>38</v>
      </c>
      <c r="E183" s="30">
        <v>9</v>
      </c>
      <c r="F183" t="str">
        <f>VLOOKUP(C183,Products!$A$2:$H$16,2,FALSE)</f>
        <v>A Guide to Health</v>
      </c>
      <c r="G183" t="str">
        <f>VLOOKUP(C183,Products!$A$2:$H$16,3,FALSE)</f>
        <v>Mahatma Gandhi</v>
      </c>
      <c r="H183" t="str">
        <f>VLOOKUP(C183,Products!$A$2:$H$16,4,FALSE)</f>
        <v>Hard Cover</v>
      </c>
      <c r="I183">
        <f>VLOOKUP(C183,Products!$A$2:$H$16,5,FALSE)</f>
        <v>1921</v>
      </c>
      <c r="J183" s="29">
        <f>VLOOKUP(C183,Products!$A$2:$H$16,6,FALSE)</f>
        <v>250</v>
      </c>
      <c r="K183" s="32">
        <f>VLOOKUP(C183,Products!$A$2:$H$16,7,FALSE)</f>
        <v>0.15</v>
      </c>
      <c r="L183" s="29">
        <f>VLOOKUP(C183,Products!$A$2:$H$16,8,FALSE)</f>
        <v>287.5</v>
      </c>
      <c r="M183" s="41">
        <f t="shared" si="6"/>
        <v>4</v>
      </c>
      <c r="N183" s="43">
        <f t="shared" si="7"/>
        <v>2587.5</v>
      </c>
      <c r="O183" s="43">
        <f t="shared" si="8"/>
        <v>2250</v>
      </c>
    </row>
    <row r="184" spans="1:15" x14ac:dyDescent="0.25">
      <c r="A184" s="31">
        <v>41389</v>
      </c>
      <c r="B184" t="s">
        <v>36</v>
      </c>
      <c r="C184" s="30">
        <v>12</v>
      </c>
      <c r="D184" s="30" t="s">
        <v>38</v>
      </c>
      <c r="E184" s="30">
        <v>13</v>
      </c>
      <c r="F184" t="str">
        <f>VLOOKUP(C184,Products!$A$2:$H$16,2,FALSE)</f>
        <v>The Story of my Experiments with Truth</v>
      </c>
      <c r="G184" t="str">
        <f>VLOOKUP(C184,Products!$A$2:$H$16,3,FALSE)</f>
        <v>Mahatma Gandhi</v>
      </c>
      <c r="H184" t="str">
        <f>VLOOKUP(C184,Products!$A$2:$H$16,4,FALSE)</f>
        <v>e-book</v>
      </c>
      <c r="I184">
        <f>VLOOKUP(C184,Products!$A$2:$H$16,5,FALSE)</f>
        <v>2004</v>
      </c>
      <c r="J184" s="29">
        <f>VLOOKUP(C184,Products!$A$2:$H$16,6,FALSE)</f>
        <v>50</v>
      </c>
      <c r="K184" s="32">
        <f>VLOOKUP(C184,Products!$A$2:$H$16,7,FALSE)</f>
        <v>0.3</v>
      </c>
      <c r="L184" s="29">
        <f>VLOOKUP(C184,Products!$A$2:$H$16,8,FALSE)</f>
        <v>65</v>
      </c>
      <c r="M184" s="41">
        <f t="shared" si="6"/>
        <v>4</v>
      </c>
      <c r="N184" s="43">
        <f t="shared" si="7"/>
        <v>845</v>
      </c>
      <c r="O184" s="43">
        <f t="shared" si="8"/>
        <v>650</v>
      </c>
    </row>
    <row r="185" spans="1:15" x14ac:dyDescent="0.25">
      <c r="A185" s="31">
        <v>41389</v>
      </c>
      <c r="B185" t="s">
        <v>36</v>
      </c>
      <c r="C185" s="30">
        <v>8</v>
      </c>
      <c r="D185" s="30" t="s">
        <v>38</v>
      </c>
      <c r="E185" s="30">
        <v>11</v>
      </c>
      <c r="F185" t="str">
        <f>VLOOKUP(C185,Products!$A$2:$H$16,2,FALSE)</f>
        <v>Glimpses of World History</v>
      </c>
      <c r="G185" t="str">
        <f>VLOOKUP(C185,Products!$A$2:$H$16,3,FALSE)</f>
        <v>Jawaharlal Nehru</v>
      </c>
      <c r="H185" t="str">
        <f>VLOOKUP(C185,Products!$A$2:$H$16,4,FALSE)</f>
        <v>Soft Cover</v>
      </c>
      <c r="I185">
        <f>VLOOKUP(C185,Products!$A$2:$H$16,5,FALSE)</f>
        <v>1934</v>
      </c>
      <c r="J185" s="29">
        <f>VLOOKUP(C185,Products!$A$2:$H$16,6,FALSE)</f>
        <v>650</v>
      </c>
      <c r="K185" s="32">
        <f>VLOOKUP(C185,Products!$A$2:$H$16,7,FALSE)</f>
        <v>0.2</v>
      </c>
      <c r="L185" s="29">
        <f>VLOOKUP(C185,Products!$A$2:$H$16,8,FALSE)</f>
        <v>780</v>
      </c>
      <c r="M185" s="41">
        <f t="shared" si="6"/>
        <v>4</v>
      </c>
      <c r="N185" s="43">
        <f t="shared" si="7"/>
        <v>8580</v>
      </c>
      <c r="O185" s="43">
        <f t="shared" si="8"/>
        <v>7150</v>
      </c>
    </row>
    <row r="186" spans="1:15" x14ac:dyDescent="0.25">
      <c r="A186" s="31">
        <v>41390</v>
      </c>
      <c r="B186" t="s">
        <v>37</v>
      </c>
      <c r="C186" s="30">
        <v>8</v>
      </c>
      <c r="D186" s="30" t="s">
        <v>34</v>
      </c>
      <c r="E186" s="30">
        <v>11</v>
      </c>
      <c r="F186" t="str">
        <f>VLOOKUP(C186,Products!$A$2:$H$16,2,FALSE)</f>
        <v>Glimpses of World History</v>
      </c>
      <c r="G186" t="str">
        <f>VLOOKUP(C186,Products!$A$2:$H$16,3,FALSE)</f>
        <v>Jawaharlal Nehru</v>
      </c>
      <c r="H186" t="str">
        <f>VLOOKUP(C186,Products!$A$2:$H$16,4,FALSE)</f>
        <v>Soft Cover</v>
      </c>
      <c r="I186">
        <f>VLOOKUP(C186,Products!$A$2:$H$16,5,FALSE)</f>
        <v>1934</v>
      </c>
      <c r="J186" s="29">
        <f>VLOOKUP(C186,Products!$A$2:$H$16,6,FALSE)</f>
        <v>650</v>
      </c>
      <c r="K186" s="32">
        <f>VLOOKUP(C186,Products!$A$2:$H$16,7,FALSE)</f>
        <v>0.2</v>
      </c>
      <c r="L186" s="29">
        <f>VLOOKUP(C186,Products!$A$2:$H$16,8,FALSE)</f>
        <v>780</v>
      </c>
      <c r="M186" s="41">
        <f t="shared" si="6"/>
        <v>4</v>
      </c>
      <c r="N186" s="43">
        <f t="shared" si="7"/>
        <v>8580</v>
      </c>
      <c r="O186" s="43">
        <f t="shared" si="8"/>
        <v>7150</v>
      </c>
    </row>
    <row r="187" spans="1:15" x14ac:dyDescent="0.25">
      <c r="A187" s="31">
        <v>41390</v>
      </c>
      <c r="B187" t="s">
        <v>40</v>
      </c>
      <c r="C187" s="30">
        <v>3</v>
      </c>
      <c r="D187" s="30" t="s">
        <v>38</v>
      </c>
      <c r="E187" s="30">
        <v>11</v>
      </c>
      <c r="F187" t="str">
        <f>VLOOKUP(C187,Products!$A$2:$H$16,2,FALSE)</f>
        <v>Glimpses of World History</v>
      </c>
      <c r="G187" t="str">
        <f>VLOOKUP(C187,Products!$A$2:$H$16,3,FALSE)</f>
        <v>Jawaharlal Nehru</v>
      </c>
      <c r="H187" t="str">
        <f>VLOOKUP(C187,Products!$A$2:$H$16,4,FALSE)</f>
        <v>Hard Cover</v>
      </c>
      <c r="I187">
        <f>VLOOKUP(C187,Products!$A$2:$H$16,5,FALSE)</f>
        <v>1934</v>
      </c>
      <c r="J187" s="29">
        <f>VLOOKUP(C187,Products!$A$2:$H$16,6,FALSE)</f>
        <v>750.45899999999995</v>
      </c>
      <c r="K187" s="32">
        <f>VLOOKUP(C187,Products!$A$2:$H$16,7,FALSE)</f>
        <v>0.2</v>
      </c>
      <c r="L187" s="29">
        <f>VLOOKUP(C187,Products!$A$2:$H$16,8,FALSE)</f>
        <v>900.55079999999998</v>
      </c>
      <c r="M187" s="41">
        <f t="shared" si="6"/>
        <v>4</v>
      </c>
      <c r="N187" s="43">
        <f t="shared" si="7"/>
        <v>9906.0587999999989</v>
      </c>
      <c r="O187" s="43">
        <f t="shared" si="8"/>
        <v>8255.0489999999991</v>
      </c>
    </row>
    <row r="188" spans="1:15" x14ac:dyDescent="0.25">
      <c r="A188" s="31">
        <v>41392</v>
      </c>
      <c r="B188" t="s">
        <v>42</v>
      </c>
      <c r="C188" s="30">
        <v>8</v>
      </c>
      <c r="D188" s="30" t="s">
        <v>34</v>
      </c>
      <c r="E188" s="30">
        <v>10</v>
      </c>
      <c r="F188" t="str">
        <f>VLOOKUP(C188,Products!$A$2:$H$16,2,FALSE)</f>
        <v>Glimpses of World History</v>
      </c>
      <c r="G188" t="str">
        <f>VLOOKUP(C188,Products!$A$2:$H$16,3,FALSE)</f>
        <v>Jawaharlal Nehru</v>
      </c>
      <c r="H188" t="str">
        <f>VLOOKUP(C188,Products!$A$2:$H$16,4,FALSE)</f>
        <v>Soft Cover</v>
      </c>
      <c r="I188">
        <f>VLOOKUP(C188,Products!$A$2:$H$16,5,FALSE)</f>
        <v>1934</v>
      </c>
      <c r="J188" s="29">
        <f>VLOOKUP(C188,Products!$A$2:$H$16,6,FALSE)</f>
        <v>650</v>
      </c>
      <c r="K188" s="32">
        <f>VLOOKUP(C188,Products!$A$2:$H$16,7,FALSE)</f>
        <v>0.2</v>
      </c>
      <c r="L188" s="29">
        <f>VLOOKUP(C188,Products!$A$2:$H$16,8,FALSE)</f>
        <v>780</v>
      </c>
      <c r="M188" s="41">
        <f t="shared" si="6"/>
        <v>4</v>
      </c>
      <c r="N188" s="43">
        <f t="shared" si="7"/>
        <v>7800</v>
      </c>
      <c r="O188" s="43">
        <f t="shared" si="8"/>
        <v>6500</v>
      </c>
    </row>
    <row r="189" spans="1:15" x14ac:dyDescent="0.25">
      <c r="A189" s="31">
        <v>41393</v>
      </c>
      <c r="B189" t="s">
        <v>37</v>
      </c>
      <c r="C189" s="30">
        <v>2</v>
      </c>
      <c r="D189" s="30" t="s">
        <v>38</v>
      </c>
      <c r="E189" s="30">
        <v>5</v>
      </c>
      <c r="F189" t="str">
        <f>VLOOKUP(C189,Products!$A$2:$H$16,2,FALSE)</f>
        <v>The Story of my Experiments with Truth</v>
      </c>
      <c r="G189" t="str">
        <f>VLOOKUP(C189,Products!$A$2:$H$16,3,FALSE)</f>
        <v>Mahatma Gandhi</v>
      </c>
      <c r="H189" t="str">
        <f>VLOOKUP(C189,Products!$A$2:$H$16,4,FALSE)</f>
        <v>Hard Cover</v>
      </c>
      <c r="I189">
        <f>VLOOKUP(C189,Products!$A$2:$H$16,5,FALSE)</f>
        <v>1927</v>
      </c>
      <c r="J189" s="29">
        <f>VLOOKUP(C189,Products!$A$2:$H$16,6,FALSE)</f>
        <v>159</v>
      </c>
      <c r="K189" s="32">
        <f>VLOOKUP(C189,Products!$A$2:$H$16,7,FALSE)</f>
        <v>0.3</v>
      </c>
      <c r="L189" s="29">
        <f>VLOOKUP(C189,Products!$A$2:$H$16,8,FALSE)</f>
        <v>206.7</v>
      </c>
      <c r="M189" s="41">
        <f t="shared" si="6"/>
        <v>4</v>
      </c>
      <c r="N189" s="43">
        <f t="shared" si="7"/>
        <v>1033.5</v>
      </c>
      <c r="O189" s="43">
        <f t="shared" si="8"/>
        <v>795</v>
      </c>
    </row>
    <row r="190" spans="1:15" x14ac:dyDescent="0.25">
      <c r="A190" s="31">
        <v>41393</v>
      </c>
      <c r="B190" t="s">
        <v>36</v>
      </c>
      <c r="C190" s="30">
        <v>14</v>
      </c>
      <c r="D190" s="30" t="s">
        <v>38</v>
      </c>
      <c r="E190" s="30">
        <v>7</v>
      </c>
      <c r="F190" t="str">
        <f>VLOOKUP(C190,Products!$A$2:$H$16,2,FALSE)</f>
        <v>A Guide to Health</v>
      </c>
      <c r="G190" t="str">
        <f>VLOOKUP(C190,Products!$A$2:$H$16,3,FALSE)</f>
        <v>Mahatma Gandhi</v>
      </c>
      <c r="H190" t="str">
        <f>VLOOKUP(C190,Products!$A$2:$H$16,4,FALSE)</f>
        <v>e-book</v>
      </c>
      <c r="I190">
        <f>VLOOKUP(C190,Products!$A$2:$H$16,5,FALSE)</f>
        <v>2005</v>
      </c>
      <c r="J190" s="29">
        <f>VLOOKUP(C190,Products!$A$2:$H$16,6,FALSE)</f>
        <v>105</v>
      </c>
      <c r="K190" s="32">
        <f>VLOOKUP(C190,Products!$A$2:$H$16,7,FALSE)</f>
        <v>0.15</v>
      </c>
      <c r="L190" s="29">
        <f>VLOOKUP(C190,Products!$A$2:$H$16,8,FALSE)</f>
        <v>120.75</v>
      </c>
      <c r="M190" s="41">
        <f t="shared" si="6"/>
        <v>4</v>
      </c>
      <c r="N190" s="43">
        <f t="shared" si="7"/>
        <v>845.25</v>
      </c>
      <c r="O190" s="43">
        <f t="shared" si="8"/>
        <v>735</v>
      </c>
    </row>
    <row r="191" spans="1:15" x14ac:dyDescent="0.25">
      <c r="A191" s="31">
        <v>41395</v>
      </c>
      <c r="B191" t="s">
        <v>39</v>
      </c>
      <c r="C191" s="30">
        <v>11</v>
      </c>
      <c r="D191" s="30" t="s">
        <v>38</v>
      </c>
      <c r="E191" s="30">
        <v>4</v>
      </c>
      <c r="F191" t="str">
        <f>VLOOKUP(C191,Products!$A$2:$H$16,2,FALSE)</f>
        <v>The Discovery of India</v>
      </c>
      <c r="G191" t="str">
        <f>VLOOKUP(C191,Products!$A$2:$H$16,3,FALSE)</f>
        <v>Jawaharlal Nehru</v>
      </c>
      <c r="H191" t="str">
        <f>VLOOKUP(C191,Products!$A$2:$H$16,4,FALSE)</f>
        <v>e-book</v>
      </c>
      <c r="I191">
        <f>VLOOKUP(C191,Products!$A$2:$H$16,5,FALSE)</f>
        <v>2004</v>
      </c>
      <c r="J191" s="29">
        <f>VLOOKUP(C191,Products!$A$2:$H$16,6,FALSE)</f>
        <v>250</v>
      </c>
      <c r="K191" s="32">
        <f>VLOOKUP(C191,Products!$A$2:$H$16,7,FALSE)</f>
        <v>0.3</v>
      </c>
      <c r="L191" s="29">
        <f>VLOOKUP(C191,Products!$A$2:$H$16,8,FALSE)</f>
        <v>325</v>
      </c>
      <c r="M191" s="41">
        <f t="shared" si="6"/>
        <v>5</v>
      </c>
      <c r="N191" s="43">
        <f t="shared" si="7"/>
        <v>1300</v>
      </c>
      <c r="O191" s="43">
        <f t="shared" si="8"/>
        <v>1000</v>
      </c>
    </row>
    <row r="192" spans="1:15" x14ac:dyDescent="0.25">
      <c r="A192" s="31">
        <v>41395</v>
      </c>
      <c r="B192" t="s">
        <v>42</v>
      </c>
      <c r="C192" s="30">
        <v>12</v>
      </c>
      <c r="D192" s="30" t="s">
        <v>34</v>
      </c>
      <c r="E192" s="30">
        <v>10</v>
      </c>
      <c r="F192" t="str">
        <f>VLOOKUP(C192,Products!$A$2:$H$16,2,FALSE)</f>
        <v>The Story of my Experiments with Truth</v>
      </c>
      <c r="G192" t="str">
        <f>VLOOKUP(C192,Products!$A$2:$H$16,3,FALSE)</f>
        <v>Mahatma Gandhi</v>
      </c>
      <c r="H192" t="str">
        <f>VLOOKUP(C192,Products!$A$2:$H$16,4,FALSE)</f>
        <v>e-book</v>
      </c>
      <c r="I192">
        <f>VLOOKUP(C192,Products!$A$2:$H$16,5,FALSE)</f>
        <v>2004</v>
      </c>
      <c r="J192" s="29">
        <f>VLOOKUP(C192,Products!$A$2:$H$16,6,FALSE)</f>
        <v>50</v>
      </c>
      <c r="K192" s="32">
        <f>VLOOKUP(C192,Products!$A$2:$H$16,7,FALSE)</f>
        <v>0.3</v>
      </c>
      <c r="L192" s="29">
        <f>VLOOKUP(C192,Products!$A$2:$H$16,8,FALSE)</f>
        <v>65</v>
      </c>
      <c r="M192" s="41">
        <f t="shared" si="6"/>
        <v>5</v>
      </c>
      <c r="N192" s="43">
        <f t="shared" si="7"/>
        <v>650</v>
      </c>
      <c r="O192" s="43">
        <f t="shared" si="8"/>
        <v>500</v>
      </c>
    </row>
    <row r="193" spans="1:15" x14ac:dyDescent="0.25">
      <c r="A193" s="31">
        <v>41396</v>
      </c>
      <c r="B193" t="s">
        <v>36</v>
      </c>
      <c r="C193" s="30">
        <v>5</v>
      </c>
      <c r="D193" s="30" t="s">
        <v>34</v>
      </c>
      <c r="E193" s="30">
        <v>14</v>
      </c>
      <c r="F193" t="str">
        <f>VLOOKUP(C193,Products!$A$2:$H$16,2,FALSE)</f>
        <v>Wings of Fire</v>
      </c>
      <c r="G193" t="str">
        <f>VLOOKUP(C193,Products!$A$2:$H$16,3,FALSE)</f>
        <v>APJ Abdul Kalam,
Arun Tiwari</v>
      </c>
      <c r="H193" t="str">
        <f>VLOOKUP(C193,Products!$A$2:$H$16,4,FALSE)</f>
        <v>Hard Cover</v>
      </c>
      <c r="I193">
        <f>VLOOKUP(C193,Products!$A$2:$H$16,5,FALSE)</f>
        <v>1999</v>
      </c>
      <c r="J193" s="29">
        <f>VLOOKUP(C193,Products!$A$2:$H$16,6,FALSE)</f>
        <v>1275.2488000000001</v>
      </c>
      <c r="K193" s="32">
        <f>VLOOKUP(C193,Products!$A$2:$H$16,7,FALSE)</f>
        <v>0.1</v>
      </c>
      <c r="L193" s="29">
        <f>VLOOKUP(C193,Products!$A$2:$H$16,8,FALSE)</f>
        <v>1402.77368</v>
      </c>
      <c r="M193" s="41">
        <f t="shared" si="6"/>
        <v>5</v>
      </c>
      <c r="N193" s="43">
        <f t="shared" si="7"/>
        <v>19638.83152</v>
      </c>
      <c r="O193" s="43">
        <f t="shared" si="8"/>
        <v>17853.483200000002</v>
      </c>
    </row>
    <row r="194" spans="1:15" x14ac:dyDescent="0.25">
      <c r="A194" s="31">
        <v>41396</v>
      </c>
      <c r="B194" t="s">
        <v>39</v>
      </c>
      <c r="C194" s="30">
        <v>11</v>
      </c>
      <c r="D194" s="30" t="s">
        <v>34</v>
      </c>
      <c r="E194" s="30">
        <v>7</v>
      </c>
      <c r="F194" t="str">
        <f>VLOOKUP(C194,Products!$A$2:$H$16,2,FALSE)</f>
        <v>The Discovery of India</v>
      </c>
      <c r="G194" t="str">
        <f>VLOOKUP(C194,Products!$A$2:$H$16,3,FALSE)</f>
        <v>Jawaharlal Nehru</v>
      </c>
      <c r="H194" t="str">
        <f>VLOOKUP(C194,Products!$A$2:$H$16,4,FALSE)</f>
        <v>e-book</v>
      </c>
      <c r="I194">
        <f>VLOOKUP(C194,Products!$A$2:$H$16,5,FALSE)</f>
        <v>2004</v>
      </c>
      <c r="J194" s="29">
        <f>VLOOKUP(C194,Products!$A$2:$H$16,6,FALSE)</f>
        <v>250</v>
      </c>
      <c r="K194" s="32">
        <f>VLOOKUP(C194,Products!$A$2:$H$16,7,FALSE)</f>
        <v>0.3</v>
      </c>
      <c r="L194" s="29">
        <f>VLOOKUP(C194,Products!$A$2:$H$16,8,FALSE)</f>
        <v>325</v>
      </c>
      <c r="M194" s="41">
        <f t="shared" si="6"/>
        <v>5</v>
      </c>
      <c r="N194" s="43">
        <f t="shared" si="7"/>
        <v>2275</v>
      </c>
      <c r="O194" s="43">
        <f t="shared" si="8"/>
        <v>1750</v>
      </c>
    </row>
    <row r="195" spans="1:15" x14ac:dyDescent="0.25">
      <c r="A195" s="31">
        <v>41397</v>
      </c>
      <c r="B195" t="s">
        <v>37</v>
      </c>
      <c r="C195" s="30">
        <v>7</v>
      </c>
      <c r="D195" s="30" t="s">
        <v>34</v>
      </c>
      <c r="E195" s="30">
        <v>18</v>
      </c>
      <c r="F195" t="str">
        <f>VLOOKUP(C195,Products!$A$2:$H$16,2,FALSE)</f>
        <v>The Story of my Experiments with Truth</v>
      </c>
      <c r="G195" t="str">
        <f>VLOOKUP(C195,Products!$A$2:$H$16,3,FALSE)</f>
        <v>Mahatma Gandhi</v>
      </c>
      <c r="H195" t="str">
        <f>VLOOKUP(C195,Products!$A$2:$H$16,4,FALSE)</f>
        <v>Soft Cover</v>
      </c>
      <c r="I195">
        <f>VLOOKUP(C195,Products!$A$2:$H$16,5,FALSE)</f>
        <v>1927</v>
      </c>
      <c r="J195" s="29">
        <f>VLOOKUP(C195,Products!$A$2:$H$16,6,FALSE)</f>
        <v>109</v>
      </c>
      <c r="K195" s="32">
        <f>VLOOKUP(C195,Products!$A$2:$H$16,7,FALSE)</f>
        <v>0.3</v>
      </c>
      <c r="L195" s="29">
        <f>VLOOKUP(C195,Products!$A$2:$H$16,8,FALSE)</f>
        <v>141.69999999999999</v>
      </c>
      <c r="M195" s="41">
        <f t="shared" ref="M195:M258" si="9">MONTH(A195)</f>
        <v>5</v>
      </c>
      <c r="N195" s="43">
        <f t="shared" ref="N195:N258" si="10">L195*E195</f>
        <v>2550.6</v>
      </c>
      <c r="O195" s="43">
        <f t="shared" ref="O195:O258" si="11">J195*E195</f>
        <v>1962</v>
      </c>
    </row>
    <row r="196" spans="1:15" x14ac:dyDescent="0.25">
      <c r="A196" s="31">
        <v>41397</v>
      </c>
      <c r="B196" t="s">
        <v>33</v>
      </c>
      <c r="C196" s="30">
        <v>4</v>
      </c>
      <c r="D196" s="30" t="s">
        <v>34</v>
      </c>
      <c r="E196" s="30">
        <v>14</v>
      </c>
      <c r="F196" t="str">
        <f>VLOOKUP(C196,Products!$A$2:$H$16,2,FALSE)</f>
        <v>A Guide to Health</v>
      </c>
      <c r="G196" t="str">
        <f>VLOOKUP(C196,Products!$A$2:$H$16,3,FALSE)</f>
        <v>Mahatma Gandhi</v>
      </c>
      <c r="H196" t="str">
        <f>VLOOKUP(C196,Products!$A$2:$H$16,4,FALSE)</f>
        <v>Hard Cover</v>
      </c>
      <c r="I196">
        <f>VLOOKUP(C196,Products!$A$2:$H$16,5,FALSE)</f>
        <v>1921</v>
      </c>
      <c r="J196" s="29">
        <f>VLOOKUP(C196,Products!$A$2:$H$16,6,FALSE)</f>
        <v>250</v>
      </c>
      <c r="K196" s="32">
        <f>VLOOKUP(C196,Products!$A$2:$H$16,7,FALSE)</f>
        <v>0.15</v>
      </c>
      <c r="L196" s="29">
        <f>VLOOKUP(C196,Products!$A$2:$H$16,8,FALSE)</f>
        <v>287.5</v>
      </c>
      <c r="M196" s="41">
        <f t="shared" si="9"/>
        <v>5</v>
      </c>
      <c r="N196" s="43">
        <f t="shared" si="10"/>
        <v>4025</v>
      </c>
      <c r="O196" s="43">
        <f t="shared" si="11"/>
        <v>3500</v>
      </c>
    </row>
    <row r="197" spans="1:15" x14ac:dyDescent="0.25">
      <c r="A197" s="31">
        <v>41398</v>
      </c>
      <c r="B197" t="s">
        <v>41</v>
      </c>
      <c r="C197" s="30">
        <v>7</v>
      </c>
      <c r="D197" s="30" t="s">
        <v>34</v>
      </c>
      <c r="E197" s="30">
        <v>17</v>
      </c>
      <c r="F197" t="str">
        <f>VLOOKUP(C197,Products!$A$2:$H$16,2,FALSE)</f>
        <v>The Story of my Experiments with Truth</v>
      </c>
      <c r="G197" t="str">
        <f>VLOOKUP(C197,Products!$A$2:$H$16,3,FALSE)</f>
        <v>Mahatma Gandhi</v>
      </c>
      <c r="H197" t="str">
        <f>VLOOKUP(C197,Products!$A$2:$H$16,4,FALSE)</f>
        <v>Soft Cover</v>
      </c>
      <c r="I197">
        <f>VLOOKUP(C197,Products!$A$2:$H$16,5,FALSE)</f>
        <v>1927</v>
      </c>
      <c r="J197" s="29">
        <f>VLOOKUP(C197,Products!$A$2:$H$16,6,FALSE)</f>
        <v>109</v>
      </c>
      <c r="K197" s="32">
        <f>VLOOKUP(C197,Products!$A$2:$H$16,7,FALSE)</f>
        <v>0.3</v>
      </c>
      <c r="L197" s="29">
        <f>VLOOKUP(C197,Products!$A$2:$H$16,8,FALSE)</f>
        <v>141.69999999999999</v>
      </c>
      <c r="M197" s="41">
        <f t="shared" si="9"/>
        <v>5</v>
      </c>
      <c r="N197" s="43">
        <f t="shared" si="10"/>
        <v>2408.8999999999996</v>
      </c>
      <c r="O197" s="43">
        <f t="shared" si="11"/>
        <v>1853</v>
      </c>
    </row>
    <row r="198" spans="1:15" x14ac:dyDescent="0.25">
      <c r="A198" s="31">
        <v>41399</v>
      </c>
      <c r="B198" t="s">
        <v>41</v>
      </c>
      <c r="C198" s="30">
        <v>9</v>
      </c>
      <c r="D198" s="30" t="s">
        <v>34</v>
      </c>
      <c r="E198" s="30">
        <v>17</v>
      </c>
      <c r="F198" t="str">
        <f>VLOOKUP(C198,Products!$A$2:$H$16,2,FALSE)</f>
        <v>A Guide to Health</v>
      </c>
      <c r="G198" t="str">
        <f>VLOOKUP(C198,Products!$A$2:$H$16,3,FALSE)</f>
        <v>Mahatma Gandhi</v>
      </c>
      <c r="H198" t="str">
        <f>VLOOKUP(C198,Products!$A$2:$H$16,4,FALSE)</f>
        <v>Soft Cover</v>
      </c>
      <c r="I198">
        <f>VLOOKUP(C198,Products!$A$2:$H$16,5,FALSE)</f>
        <v>1921</v>
      </c>
      <c r="J198" s="29">
        <f>VLOOKUP(C198,Products!$A$2:$H$16,6,FALSE)</f>
        <v>220</v>
      </c>
      <c r="K198" s="32">
        <f>VLOOKUP(C198,Products!$A$2:$H$16,7,FALSE)</f>
        <v>0.15</v>
      </c>
      <c r="L198" s="29">
        <f>VLOOKUP(C198,Products!$A$2:$H$16,8,FALSE)</f>
        <v>253</v>
      </c>
      <c r="M198" s="41">
        <f t="shared" si="9"/>
        <v>5</v>
      </c>
      <c r="N198" s="43">
        <f t="shared" si="10"/>
        <v>4301</v>
      </c>
      <c r="O198" s="43">
        <f t="shared" si="11"/>
        <v>3740</v>
      </c>
    </row>
    <row r="199" spans="1:15" x14ac:dyDescent="0.25">
      <c r="A199" s="31">
        <v>41400</v>
      </c>
      <c r="B199" t="s">
        <v>41</v>
      </c>
      <c r="C199" s="30">
        <v>4</v>
      </c>
      <c r="D199" s="30" t="s">
        <v>34</v>
      </c>
      <c r="E199" s="30">
        <v>16</v>
      </c>
      <c r="F199" t="str">
        <f>VLOOKUP(C199,Products!$A$2:$H$16,2,FALSE)</f>
        <v>A Guide to Health</v>
      </c>
      <c r="G199" t="str">
        <f>VLOOKUP(C199,Products!$A$2:$H$16,3,FALSE)</f>
        <v>Mahatma Gandhi</v>
      </c>
      <c r="H199" t="str">
        <f>VLOOKUP(C199,Products!$A$2:$H$16,4,FALSE)</f>
        <v>Hard Cover</v>
      </c>
      <c r="I199">
        <f>VLOOKUP(C199,Products!$A$2:$H$16,5,FALSE)</f>
        <v>1921</v>
      </c>
      <c r="J199" s="29">
        <f>VLOOKUP(C199,Products!$A$2:$H$16,6,FALSE)</f>
        <v>250</v>
      </c>
      <c r="K199" s="32">
        <f>VLOOKUP(C199,Products!$A$2:$H$16,7,FALSE)</f>
        <v>0.15</v>
      </c>
      <c r="L199" s="29">
        <f>VLOOKUP(C199,Products!$A$2:$H$16,8,FALSE)</f>
        <v>287.5</v>
      </c>
      <c r="M199" s="41">
        <f t="shared" si="9"/>
        <v>5</v>
      </c>
      <c r="N199" s="43">
        <f t="shared" si="10"/>
        <v>4600</v>
      </c>
      <c r="O199" s="43">
        <f t="shared" si="11"/>
        <v>4000</v>
      </c>
    </row>
    <row r="200" spans="1:15" x14ac:dyDescent="0.25">
      <c r="A200" s="31">
        <v>41401</v>
      </c>
      <c r="B200" t="s">
        <v>39</v>
      </c>
      <c r="C200" s="30">
        <v>3</v>
      </c>
      <c r="D200" s="30" t="s">
        <v>38</v>
      </c>
      <c r="E200" s="30">
        <v>5</v>
      </c>
      <c r="F200" t="str">
        <f>VLOOKUP(C200,Products!$A$2:$H$16,2,FALSE)</f>
        <v>Glimpses of World History</v>
      </c>
      <c r="G200" t="str">
        <f>VLOOKUP(C200,Products!$A$2:$H$16,3,FALSE)</f>
        <v>Jawaharlal Nehru</v>
      </c>
      <c r="H200" t="str">
        <f>VLOOKUP(C200,Products!$A$2:$H$16,4,FALSE)</f>
        <v>Hard Cover</v>
      </c>
      <c r="I200">
        <f>VLOOKUP(C200,Products!$A$2:$H$16,5,FALSE)</f>
        <v>1934</v>
      </c>
      <c r="J200" s="29">
        <f>VLOOKUP(C200,Products!$A$2:$H$16,6,FALSE)</f>
        <v>750.45899999999995</v>
      </c>
      <c r="K200" s="32">
        <f>VLOOKUP(C200,Products!$A$2:$H$16,7,FALSE)</f>
        <v>0.2</v>
      </c>
      <c r="L200" s="29">
        <f>VLOOKUP(C200,Products!$A$2:$H$16,8,FALSE)</f>
        <v>900.55079999999998</v>
      </c>
      <c r="M200" s="41">
        <f t="shared" si="9"/>
        <v>5</v>
      </c>
      <c r="N200" s="43">
        <f t="shared" si="10"/>
        <v>4502.7539999999999</v>
      </c>
      <c r="O200" s="43">
        <f t="shared" si="11"/>
        <v>3752.2949999999996</v>
      </c>
    </row>
    <row r="201" spans="1:15" x14ac:dyDescent="0.25">
      <c r="A201" s="31">
        <v>41401</v>
      </c>
      <c r="B201" t="s">
        <v>37</v>
      </c>
      <c r="C201" s="30">
        <v>12</v>
      </c>
      <c r="D201" s="30" t="s">
        <v>34</v>
      </c>
      <c r="E201" s="30">
        <v>3</v>
      </c>
      <c r="F201" t="str">
        <f>VLOOKUP(C201,Products!$A$2:$H$16,2,FALSE)</f>
        <v>The Story of my Experiments with Truth</v>
      </c>
      <c r="G201" t="str">
        <f>VLOOKUP(C201,Products!$A$2:$H$16,3,FALSE)</f>
        <v>Mahatma Gandhi</v>
      </c>
      <c r="H201" t="str">
        <f>VLOOKUP(C201,Products!$A$2:$H$16,4,FALSE)</f>
        <v>e-book</v>
      </c>
      <c r="I201">
        <f>VLOOKUP(C201,Products!$A$2:$H$16,5,FALSE)</f>
        <v>2004</v>
      </c>
      <c r="J201" s="29">
        <f>VLOOKUP(C201,Products!$A$2:$H$16,6,FALSE)</f>
        <v>50</v>
      </c>
      <c r="K201" s="32">
        <f>VLOOKUP(C201,Products!$A$2:$H$16,7,FALSE)</f>
        <v>0.3</v>
      </c>
      <c r="L201" s="29">
        <f>VLOOKUP(C201,Products!$A$2:$H$16,8,FALSE)</f>
        <v>65</v>
      </c>
      <c r="M201" s="41">
        <f t="shared" si="9"/>
        <v>5</v>
      </c>
      <c r="N201" s="43">
        <f t="shared" si="10"/>
        <v>195</v>
      </c>
      <c r="O201" s="43">
        <f t="shared" si="11"/>
        <v>150</v>
      </c>
    </row>
    <row r="202" spans="1:15" x14ac:dyDescent="0.25">
      <c r="A202" s="31">
        <v>41402</v>
      </c>
      <c r="B202" t="s">
        <v>40</v>
      </c>
      <c r="C202" s="30">
        <v>10</v>
      </c>
      <c r="D202" s="30" t="s">
        <v>38</v>
      </c>
      <c r="E202" s="30">
        <v>8</v>
      </c>
      <c r="F202" t="str">
        <f>VLOOKUP(C202,Products!$A$2:$H$16,2,FALSE)</f>
        <v>Wings of Fire</v>
      </c>
      <c r="G202" t="str">
        <f>VLOOKUP(C202,Products!$A$2:$H$16,3,FALSE)</f>
        <v>APJ Abdul Kalam,
Arun Tiwari</v>
      </c>
      <c r="H202" t="str">
        <f>VLOOKUP(C202,Products!$A$2:$H$16,4,FALSE)</f>
        <v>Soft Cover</v>
      </c>
      <c r="I202">
        <f>VLOOKUP(C202,Products!$A$2:$H$16,5,FALSE)</f>
        <v>1999</v>
      </c>
      <c r="J202" s="29">
        <f>VLOOKUP(C202,Products!$A$2:$H$16,6,FALSE)</f>
        <v>1200</v>
      </c>
      <c r="K202" s="32">
        <f>VLOOKUP(C202,Products!$A$2:$H$16,7,FALSE)</f>
        <v>0.1</v>
      </c>
      <c r="L202" s="29">
        <f>VLOOKUP(C202,Products!$A$2:$H$16,8,FALSE)</f>
        <v>1320</v>
      </c>
      <c r="M202" s="41">
        <f t="shared" si="9"/>
        <v>5</v>
      </c>
      <c r="N202" s="43">
        <f t="shared" si="10"/>
        <v>10560</v>
      </c>
      <c r="O202" s="43">
        <f t="shared" si="11"/>
        <v>9600</v>
      </c>
    </row>
    <row r="203" spans="1:15" x14ac:dyDescent="0.25">
      <c r="A203" s="31">
        <v>41402</v>
      </c>
      <c r="B203" t="s">
        <v>42</v>
      </c>
      <c r="C203" s="30">
        <v>9</v>
      </c>
      <c r="D203" s="30" t="s">
        <v>38</v>
      </c>
      <c r="E203" s="30">
        <v>4</v>
      </c>
      <c r="F203" t="str">
        <f>VLOOKUP(C203,Products!$A$2:$H$16,2,FALSE)</f>
        <v>A Guide to Health</v>
      </c>
      <c r="G203" t="str">
        <f>VLOOKUP(C203,Products!$A$2:$H$16,3,FALSE)</f>
        <v>Mahatma Gandhi</v>
      </c>
      <c r="H203" t="str">
        <f>VLOOKUP(C203,Products!$A$2:$H$16,4,FALSE)</f>
        <v>Soft Cover</v>
      </c>
      <c r="I203">
        <f>VLOOKUP(C203,Products!$A$2:$H$16,5,FALSE)</f>
        <v>1921</v>
      </c>
      <c r="J203" s="29">
        <f>VLOOKUP(C203,Products!$A$2:$H$16,6,FALSE)</f>
        <v>220</v>
      </c>
      <c r="K203" s="32">
        <f>VLOOKUP(C203,Products!$A$2:$H$16,7,FALSE)</f>
        <v>0.15</v>
      </c>
      <c r="L203" s="29">
        <f>VLOOKUP(C203,Products!$A$2:$H$16,8,FALSE)</f>
        <v>253</v>
      </c>
      <c r="M203" s="41">
        <f t="shared" si="9"/>
        <v>5</v>
      </c>
      <c r="N203" s="43">
        <f t="shared" si="10"/>
        <v>1012</v>
      </c>
      <c r="O203" s="43">
        <f t="shared" si="11"/>
        <v>880</v>
      </c>
    </row>
    <row r="204" spans="1:15" x14ac:dyDescent="0.25">
      <c r="A204" s="31">
        <v>41402</v>
      </c>
      <c r="B204" t="s">
        <v>33</v>
      </c>
      <c r="C204" s="30">
        <v>2</v>
      </c>
      <c r="D204" s="30" t="s">
        <v>34</v>
      </c>
      <c r="E204" s="30">
        <v>5</v>
      </c>
      <c r="F204" t="str">
        <f>VLOOKUP(C204,Products!$A$2:$H$16,2,FALSE)</f>
        <v>The Story of my Experiments with Truth</v>
      </c>
      <c r="G204" t="str">
        <f>VLOOKUP(C204,Products!$A$2:$H$16,3,FALSE)</f>
        <v>Mahatma Gandhi</v>
      </c>
      <c r="H204" t="str">
        <f>VLOOKUP(C204,Products!$A$2:$H$16,4,FALSE)</f>
        <v>Hard Cover</v>
      </c>
      <c r="I204">
        <f>VLOOKUP(C204,Products!$A$2:$H$16,5,FALSE)</f>
        <v>1927</v>
      </c>
      <c r="J204" s="29">
        <f>VLOOKUP(C204,Products!$A$2:$H$16,6,FALSE)</f>
        <v>159</v>
      </c>
      <c r="K204" s="32">
        <f>VLOOKUP(C204,Products!$A$2:$H$16,7,FALSE)</f>
        <v>0.3</v>
      </c>
      <c r="L204" s="29">
        <f>VLOOKUP(C204,Products!$A$2:$H$16,8,FALSE)</f>
        <v>206.7</v>
      </c>
      <c r="M204" s="41">
        <f t="shared" si="9"/>
        <v>5</v>
      </c>
      <c r="N204" s="43">
        <f t="shared" si="10"/>
        <v>1033.5</v>
      </c>
      <c r="O204" s="43">
        <f t="shared" si="11"/>
        <v>795</v>
      </c>
    </row>
    <row r="205" spans="1:15" x14ac:dyDescent="0.25">
      <c r="A205" s="31">
        <v>41403</v>
      </c>
      <c r="B205" t="s">
        <v>37</v>
      </c>
      <c r="C205" s="30">
        <v>12</v>
      </c>
      <c r="D205" s="30" t="s">
        <v>34</v>
      </c>
      <c r="E205" s="30">
        <v>18</v>
      </c>
      <c r="F205" t="str">
        <f>VLOOKUP(C205,Products!$A$2:$H$16,2,FALSE)</f>
        <v>The Story of my Experiments with Truth</v>
      </c>
      <c r="G205" t="str">
        <f>VLOOKUP(C205,Products!$A$2:$H$16,3,FALSE)</f>
        <v>Mahatma Gandhi</v>
      </c>
      <c r="H205" t="str">
        <f>VLOOKUP(C205,Products!$A$2:$H$16,4,FALSE)</f>
        <v>e-book</v>
      </c>
      <c r="I205">
        <f>VLOOKUP(C205,Products!$A$2:$H$16,5,FALSE)</f>
        <v>2004</v>
      </c>
      <c r="J205" s="29">
        <f>VLOOKUP(C205,Products!$A$2:$H$16,6,FALSE)</f>
        <v>50</v>
      </c>
      <c r="K205" s="32">
        <f>VLOOKUP(C205,Products!$A$2:$H$16,7,FALSE)</f>
        <v>0.3</v>
      </c>
      <c r="L205" s="29">
        <f>VLOOKUP(C205,Products!$A$2:$H$16,8,FALSE)</f>
        <v>65</v>
      </c>
      <c r="M205" s="41">
        <f t="shared" si="9"/>
        <v>5</v>
      </c>
      <c r="N205" s="43">
        <f t="shared" si="10"/>
        <v>1170</v>
      </c>
      <c r="O205" s="43">
        <f t="shared" si="11"/>
        <v>900</v>
      </c>
    </row>
    <row r="206" spans="1:15" x14ac:dyDescent="0.25">
      <c r="A206" s="31">
        <v>41403</v>
      </c>
      <c r="B206" t="s">
        <v>40</v>
      </c>
      <c r="C206" s="30">
        <v>15</v>
      </c>
      <c r="D206" s="30" t="s">
        <v>34</v>
      </c>
      <c r="E206" s="30">
        <v>19</v>
      </c>
      <c r="F206" t="str">
        <f>VLOOKUP(C206,Products!$A$2:$H$16,2,FALSE)</f>
        <v>Wings of Fire</v>
      </c>
      <c r="G206" t="str">
        <f>VLOOKUP(C206,Products!$A$2:$H$16,3,FALSE)</f>
        <v>APJ Abdul Kalam,
Arun Tiwari</v>
      </c>
      <c r="H206" t="str">
        <f>VLOOKUP(C206,Products!$A$2:$H$16,4,FALSE)</f>
        <v>e-book</v>
      </c>
      <c r="I206">
        <f>VLOOKUP(C206,Products!$A$2:$H$16,5,FALSE)</f>
        <v>2005</v>
      </c>
      <c r="J206" s="29">
        <f>VLOOKUP(C206,Products!$A$2:$H$16,6,FALSE)</f>
        <v>500</v>
      </c>
      <c r="K206" s="32">
        <f>VLOOKUP(C206,Products!$A$2:$H$16,7,FALSE)</f>
        <v>0.1</v>
      </c>
      <c r="L206" s="29">
        <f>VLOOKUP(C206,Products!$A$2:$H$16,8,FALSE)</f>
        <v>550</v>
      </c>
      <c r="M206" s="41">
        <f t="shared" si="9"/>
        <v>5</v>
      </c>
      <c r="N206" s="43">
        <f t="shared" si="10"/>
        <v>10450</v>
      </c>
      <c r="O206" s="43">
        <f t="shared" si="11"/>
        <v>9500</v>
      </c>
    </row>
    <row r="207" spans="1:15" x14ac:dyDescent="0.25">
      <c r="A207" s="31">
        <v>41404</v>
      </c>
      <c r="B207" t="s">
        <v>37</v>
      </c>
      <c r="C207" s="30">
        <v>9</v>
      </c>
      <c r="D207" s="30" t="s">
        <v>34</v>
      </c>
      <c r="E207" s="30">
        <v>7</v>
      </c>
      <c r="F207" t="str">
        <f>VLOOKUP(C207,Products!$A$2:$H$16,2,FALSE)</f>
        <v>A Guide to Health</v>
      </c>
      <c r="G207" t="str">
        <f>VLOOKUP(C207,Products!$A$2:$H$16,3,FALSE)</f>
        <v>Mahatma Gandhi</v>
      </c>
      <c r="H207" t="str">
        <f>VLOOKUP(C207,Products!$A$2:$H$16,4,FALSE)</f>
        <v>Soft Cover</v>
      </c>
      <c r="I207">
        <f>VLOOKUP(C207,Products!$A$2:$H$16,5,FALSE)</f>
        <v>1921</v>
      </c>
      <c r="J207" s="29">
        <f>VLOOKUP(C207,Products!$A$2:$H$16,6,FALSE)</f>
        <v>220</v>
      </c>
      <c r="K207" s="32">
        <f>VLOOKUP(C207,Products!$A$2:$H$16,7,FALSE)</f>
        <v>0.15</v>
      </c>
      <c r="L207" s="29">
        <f>VLOOKUP(C207,Products!$A$2:$H$16,8,FALSE)</f>
        <v>253</v>
      </c>
      <c r="M207" s="41">
        <f t="shared" si="9"/>
        <v>5</v>
      </c>
      <c r="N207" s="43">
        <f t="shared" si="10"/>
        <v>1771</v>
      </c>
      <c r="O207" s="43">
        <f t="shared" si="11"/>
        <v>1540</v>
      </c>
    </row>
    <row r="208" spans="1:15" x14ac:dyDescent="0.25">
      <c r="A208" s="31">
        <v>41405</v>
      </c>
      <c r="B208" t="s">
        <v>37</v>
      </c>
      <c r="C208" s="30">
        <v>8</v>
      </c>
      <c r="D208" s="30" t="s">
        <v>38</v>
      </c>
      <c r="E208" s="30">
        <v>8</v>
      </c>
      <c r="F208" t="str">
        <f>VLOOKUP(C208,Products!$A$2:$H$16,2,FALSE)</f>
        <v>Glimpses of World History</v>
      </c>
      <c r="G208" t="str">
        <f>VLOOKUP(C208,Products!$A$2:$H$16,3,FALSE)</f>
        <v>Jawaharlal Nehru</v>
      </c>
      <c r="H208" t="str">
        <f>VLOOKUP(C208,Products!$A$2:$H$16,4,FALSE)</f>
        <v>Soft Cover</v>
      </c>
      <c r="I208">
        <f>VLOOKUP(C208,Products!$A$2:$H$16,5,FALSE)</f>
        <v>1934</v>
      </c>
      <c r="J208" s="29">
        <f>VLOOKUP(C208,Products!$A$2:$H$16,6,FALSE)</f>
        <v>650</v>
      </c>
      <c r="K208" s="32">
        <f>VLOOKUP(C208,Products!$A$2:$H$16,7,FALSE)</f>
        <v>0.2</v>
      </c>
      <c r="L208" s="29">
        <f>VLOOKUP(C208,Products!$A$2:$H$16,8,FALSE)</f>
        <v>780</v>
      </c>
      <c r="M208" s="41">
        <f t="shared" si="9"/>
        <v>5</v>
      </c>
      <c r="N208" s="43">
        <f t="shared" si="10"/>
        <v>6240</v>
      </c>
      <c r="O208" s="43">
        <f t="shared" si="11"/>
        <v>5200</v>
      </c>
    </row>
    <row r="209" spans="1:15" x14ac:dyDescent="0.25">
      <c r="A209" s="31">
        <v>41406</v>
      </c>
      <c r="B209" t="s">
        <v>42</v>
      </c>
      <c r="C209" s="30">
        <v>5</v>
      </c>
      <c r="D209" s="30" t="s">
        <v>34</v>
      </c>
      <c r="E209" s="30">
        <v>13</v>
      </c>
      <c r="F209" t="str">
        <f>VLOOKUP(C209,Products!$A$2:$H$16,2,FALSE)</f>
        <v>Wings of Fire</v>
      </c>
      <c r="G209" t="str">
        <f>VLOOKUP(C209,Products!$A$2:$H$16,3,FALSE)</f>
        <v>APJ Abdul Kalam,
Arun Tiwari</v>
      </c>
      <c r="H209" t="str">
        <f>VLOOKUP(C209,Products!$A$2:$H$16,4,FALSE)</f>
        <v>Hard Cover</v>
      </c>
      <c r="I209">
        <f>VLOOKUP(C209,Products!$A$2:$H$16,5,FALSE)</f>
        <v>1999</v>
      </c>
      <c r="J209" s="29">
        <f>VLOOKUP(C209,Products!$A$2:$H$16,6,FALSE)</f>
        <v>1275.2488000000001</v>
      </c>
      <c r="K209" s="32">
        <f>VLOOKUP(C209,Products!$A$2:$H$16,7,FALSE)</f>
        <v>0.1</v>
      </c>
      <c r="L209" s="29">
        <f>VLOOKUP(C209,Products!$A$2:$H$16,8,FALSE)</f>
        <v>1402.77368</v>
      </c>
      <c r="M209" s="41">
        <f t="shared" si="9"/>
        <v>5</v>
      </c>
      <c r="N209" s="43">
        <f t="shared" si="10"/>
        <v>18236.057840000001</v>
      </c>
      <c r="O209" s="43">
        <f t="shared" si="11"/>
        <v>16578.234400000001</v>
      </c>
    </row>
    <row r="210" spans="1:15" x14ac:dyDescent="0.25">
      <c r="A210" s="31">
        <v>41406</v>
      </c>
      <c r="B210" t="s">
        <v>41</v>
      </c>
      <c r="C210" s="30">
        <v>15</v>
      </c>
      <c r="D210" s="30" t="s">
        <v>38</v>
      </c>
      <c r="E210" s="30">
        <v>5</v>
      </c>
      <c r="F210" t="str">
        <f>VLOOKUP(C210,Products!$A$2:$H$16,2,FALSE)</f>
        <v>Wings of Fire</v>
      </c>
      <c r="G210" t="str">
        <f>VLOOKUP(C210,Products!$A$2:$H$16,3,FALSE)</f>
        <v>APJ Abdul Kalam,
Arun Tiwari</v>
      </c>
      <c r="H210" t="str">
        <f>VLOOKUP(C210,Products!$A$2:$H$16,4,FALSE)</f>
        <v>e-book</v>
      </c>
      <c r="I210">
        <f>VLOOKUP(C210,Products!$A$2:$H$16,5,FALSE)</f>
        <v>2005</v>
      </c>
      <c r="J210" s="29">
        <f>VLOOKUP(C210,Products!$A$2:$H$16,6,FALSE)</f>
        <v>500</v>
      </c>
      <c r="K210" s="32">
        <f>VLOOKUP(C210,Products!$A$2:$H$16,7,FALSE)</f>
        <v>0.1</v>
      </c>
      <c r="L210" s="29">
        <f>VLOOKUP(C210,Products!$A$2:$H$16,8,FALSE)</f>
        <v>550</v>
      </c>
      <c r="M210" s="41">
        <f t="shared" si="9"/>
        <v>5</v>
      </c>
      <c r="N210" s="43">
        <f t="shared" si="10"/>
        <v>2750</v>
      </c>
      <c r="O210" s="43">
        <f t="shared" si="11"/>
        <v>2500</v>
      </c>
    </row>
    <row r="211" spans="1:15" x14ac:dyDescent="0.25">
      <c r="A211" s="31">
        <v>41408</v>
      </c>
      <c r="B211" t="s">
        <v>36</v>
      </c>
      <c r="C211" s="30">
        <v>11</v>
      </c>
      <c r="D211" s="30" t="s">
        <v>34</v>
      </c>
      <c r="E211" s="30">
        <v>11</v>
      </c>
      <c r="F211" t="str">
        <f>VLOOKUP(C211,Products!$A$2:$H$16,2,FALSE)</f>
        <v>The Discovery of India</v>
      </c>
      <c r="G211" t="str">
        <f>VLOOKUP(C211,Products!$A$2:$H$16,3,FALSE)</f>
        <v>Jawaharlal Nehru</v>
      </c>
      <c r="H211" t="str">
        <f>VLOOKUP(C211,Products!$A$2:$H$16,4,FALSE)</f>
        <v>e-book</v>
      </c>
      <c r="I211">
        <f>VLOOKUP(C211,Products!$A$2:$H$16,5,FALSE)</f>
        <v>2004</v>
      </c>
      <c r="J211" s="29">
        <f>VLOOKUP(C211,Products!$A$2:$H$16,6,FALSE)</f>
        <v>250</v>
      </c>
      <c r="K211" s="32">
        <f>VLOOKUP(C211,Products!$A$2:$H$16,7,FALSE)</f>
        <v>0.3</v>
      </c>
      <c r="L211" s="29">
        <f>VLOOKUP(C211,Products!$A$2:$H$16,8,FALSE)</f>
        <v>325</v>
      </c>
      <c r="M211" s="41">
        <f t="shared" si="9"/>
        <v>5</v>
      </c>
      <c r="N211" s="43">
        <f t="shared" si="10"/>
        <v>3575</v>
      </c>
      <c r="O211" s="43">
        <f t="shared" si="11"/>
        <v>2750</v>
      </c>
    </row>
    <row r="212" spans="1:15" x14ac:dyDescent="0.25">
      <c r="A212" s="31">
        <v>41409</v>
      </c>
      <c r="B212" t="s">
        <v>33</v>
      </c>
      <c r="C212" s="30">
        <v>8</v>
      </c>
      <c r="D212" s="30" t="s">
        <v>34</v>
      </c>
      <c r="E212" s="30">
        <v>8</v>
      </c>
      <c r="F212" t="str">
        <f>VLOOKUP(C212,Products!$A$2:$H$16,2,FALSE)</f>
        <v>Glimpses of World History</v>
      </c>
      <c r="G212" t="str">
        <f>VLOOKUP(C212,Products!$A$2:$H$16,3,FALSE)</f>
        <v>Jawaharlal Nehru</v>
      </c>
      <c r="H212" t="str">
        <f>VLOOKUP(C212,Products!$A$2:$H$16,4,FALSE)</f>
        <v>Soft Cover</v>
      </c>
      <c r="I212">
        <f>VLOOKUP(C212,Products!$A$2:$H$16,5,FALSE)</f>
        <v>1934</v>
      </c>
      <c r="J212" s="29">
        <f>VLOOKUP(C212,Products!$A$2:$H$16,6,FALSE)</f>
        <v>650</v>
      </c>
      <c r="K212" s="32">
        <f>VLOOKUP(C212,Products!$A$2:$H$16,7,FALSE)</f>
        <v>0.2</v>
      </c>
      <c r="L212" s="29">
        <f>VLOOKUP(C212,Products!$A$2:$H$16,8,FALSE)</f>
        <v>780</v>
      </c>
      <c r="M212" s="41">
        <f t="shared" si="9"/>
        <v>5</v>
      </c>
      <c r="N212" s="43">
        <f t="shared" si="10"/>
        <v>6240</v>
      </c>
      <c r="O212" s="43">
        <f t="shared" si="11"/>
        <v>5200</v>
      </c>
    </row>
    <row r="213" spans="1:15" x14ac:dyDescent="0.25">
      <c r="A213" s="31">
        <v>41409</v>
      </c>
      <c r="B213" t="s">
        <v>33</v>
      </c>
      <c r="C213" s="30">
        <v>6</v>
      </c>
      <c r="D213" s="30" t="s">
        <v>34</v>
      </c>
      <c r="E213" s="30">
        <v>16</v>
      </c>
      <c r="F213" t="str">
        <f>VLOOKUP(C213,Products!$A$2:$H$16,2,FALSE)</f>
        <v>The Discovery of India</v>
      </c>
      <c r="G213" t="str">
        <f>VLOOKUP(C213,Products!$A$2:$H$16,3,FALSE)</f>
        <v>Jawaharlal Nehru</v>
      </c>
      <c r="H213" t="str">
        <f>VLOOKUP(C213,Products!$A$2:$H$16,4,FALSE)</f>
        <v>Soft Cover</v>
      </c>
      <c r="I213">
        <f>VLOOKUP(C213,Products!$A$2:$H$16,5,FALSE)</f>
        <v>1946</v>
      </c>
      <c r="J213" s="29">
        <f>VLOOKUP(C213,Products!$A$2:$H$16,6,FALSE)</f>
        <v>499</v>
      </c>
      <c r="K213" s="32">
        <f>VLOOKUP(C213,Products!$A$2:$H$16,7,FALSE)</f>
        <v>0.3</v>
      </c>
      <c r="L213" s="29">
        <f>VLOOKUP(C213,Products!$A$2:$H$16,8,FALSE)</f>
        <v>648.70000000000005</v>
      </c>
      <c r="M213" s="41">
        <f t="shared" si="9"/>
        <v>5</v>
      </c>
      <c r="N213" s="43">
        <f t="shared" si="10"/>
        <v>10379.200000000001</v>
      </c>
      <c r="O213" s="43">
        <f t="shared" si="11"/>
        <v>7984</v>
      </c>
    </row>
    <row r="214" spans="1:15" x14ac:dyDescent="0.25">
      <c r="A214" s="31">
        <v>41409</v>
      </c>
      <c r="B214" t="s">
        <v>40</v>
      </c>
      <c r="C214" s="30">
        <v>6</v>
      </c>
      <c r="D214" s="30" t="s">
        <v>34</v>
      </c>
      <c r="E214" s="30">
        <v>17</v>
      </c>
      <c r="F214" t="str">
        <f>VLOOKUP(C214,Products!$A$2:$H$16,2,FALSE)</f>
        <v>The Discovery of India</v>
      </c>
      <c r="G214" t="str">
        <f>VLOOKUP(C214,Products!$A$2:$H$16,3,FALSE)</f>
        <v>Jawaharlal Nehru</v>
      </c>
      <c r="H214" t="str">
        <f>VLOOKUP(C214,Products!$A$2:$H$16,4,FALSE)</f>
        <v>Soft Cover</v>
      </c>
      <c r="I214">
        <f>VLOOKUP(C214,Products!$A$2:$H$16,5,FALSE)</f>
        <v>1946</v>
      </c>
      <c r="J214" s="29">
        <f>VLOOKUP(C214,Products!$A$2:$H$16,6,FALSE)</f>
        <v>499</v>
      </c>
      <c r="K214" s="32">
        <f>VLOOKUP(C214,Products!$A$2:$H$16,7,FALSE)</f>
        <v>0.3</v>
      </c>
      <c r="L214" s="29">
        <f>VLOOKUP(C214,Products!$A$2:$H$16,8,FALSE)</f>
        <v>648.70000000000005</v>
      </c>
      <c r="M214" s="41">
        <f t="shared" si="9"/>
        <v>5</v>
      </c>
      <c r="N214" s="43">
        <f t="shared" si="10"/>
        <v>11027.900000000001</v>
      </c>
      <c r="O214" s="43">
        <f t="shared" si="11"/>
        <v>8483</v>
      </c>
    </row>
    <row r="215" spans="1:15" x14ac:dyDescent="0.25">
      <c r="A215" s="31">
        <v>41411</v>
      </c>
      <c r="B215" t="s">
        <v>40</v>
      </c>
      <c r="C215" s="30">
        <v>4</v>
      </c>
      <c r="D215" s="30" t="s">
        <v>34</v>
      </c>
      <c r="E215" s="30">
        <v>4</v>
      </c>
      <c r="F215" t="str">
        <f>VLOOKUP(C215,Products!$A$2:$H$16,2,FALSE)</f>
        <v>A Guide to Health</v>
      </c>
      <c r="G215" t="str">
        <f>VLOOKUP(C215,Products!$A$2:$H$16,3,FALSE)</f>
        <v>Mahatma Gandhi</v>
      </c>
      <c r="H215" t="str">
        <f>VLOOKUP(C215,Products!$A$2:$H$16,4,FALSE)</f>
        <v>Hard Cover</v>
      </c>
      <c r="I215">
        <f>VLOOKUP(C215,Products!$A$2:$H$16,5,FALSE)</f>
        <v>1921</v>
      </c>
      <c r="J215" s="29">
        <f>VLOOKUP(C215,Products!$A$2:$H$16,6,FALSE)</f>
        <v>250</v>
      </c>
      <c r="K215" s="32">
        <f>VLOOKUP(C215,Products!$A$2:$H$16,7,FALSE)</f>
        <v>0.15</v>
      </c>
      <c r="L215" s="29">
        <f>VLOOKUP(C215,Products!$A$2:$H$16,8,FALSE)</f>
        <v>287.5</v>
      </c>
      <c r="M215" s="41">
        <f t="shared" si="9"/>
        <v>5</v>
      </c>
      <c r="N215" s="43">
        <f t="shared" si="10"/>
        <v>1150</v>
      </c>
      <c r="O215" s="43">
        <f t="shared" si="11"/>
        <v>1000</v>
      </c>
    </row>
    <row r="216" spans="1:15" x14ac:dyDescent="0.25">
      <c r="A216" s="31">
        <v>41412</v>
      </c>
      <c r="B216" t="s">
        <v>35</v>
      </c>
      <c r="C216" s="30">
        <v>8</v>
      </c>
      <c r="D216" s="30" t="s">
        <v>34</v>
      </c>
      <c r="E216" s="30">
        <v>1</v>
      </c>
      <c r="F216" t="str">
        <f>VLOOKUP(C216,Products!$A$2:$H$16,2,FALSE)</f>
        <v>Glimpses of World History</v>
      </c>
      <c r="G216" t="str">
        <f>VLOOKUP(C216,Products!$A$2:$H$16,3,FALSE)</f>
        <v>Jawaharlal Nehru</v>
      </c>
      <c r="H216" t="str">
        <f>VLOOKUP(C216,Products!$A$2:$H$16,4,FALSE)</f>
        <v>Soft Cover</v>
      </c>
      <c r="I216">
        <f>VLOOKUP(C216,Products!$A$2:$H$16,5,FALSE)</f>
        <v>1934</v>
      </c>
      <c r="J216" s="29">
        <f>VLOOKUP(C216,Products!$A$2:$H$16,6,FALSE)</f>
        <v>650</v>
      </c>
      <c r="K216" s="32">
        <f>VLOOKUP(C216,Products!$A$2:$H$16,7,FALSE)</f>
        <v>0.2</v>
      </c>
      <c r="L216" s="29">
        <f>VLOOKUP(C216,Products!$A$2:$H$16,8,FALSE)</f>
        <v>780</v>
      </c>
      <c r="M216" s="41">
        <f t="shared" si="9"/>
        <v>5</v>
      </c>
      <c r="N216" s="43">
        <f t="shared" si="10"/>
        <v>780</v>
      </c>
      <c r="O216" s="43">
        <f t="shared" si="11"/>
        <v>650</v>
      </c>
    </row>
    <row r="217" spans="1:15" x14ac:dyDescent="0.25">
      <c r="A217" s="31">
        <v>41412</v>
      </c>
      <c r="B217" t="s">
        <v>41</v>
      </c>
      <c r="C217" s="30">
        <v>3</v>
      </c>
      <c r="D217" s="30" t="s">
        <v>38</v>
      </c>
      <c r="E217" s="30">
        <v>5</v>
      </c>
      <c r="F217" t="str">
        <f>VLOOKUP(C217,Products!$A$2:$H$16,2,FALSE)</f>
        <v>Glimpses of World History</v>
      </c>
      <c r="G217" t="str">
        <f>VLOOKUP(C217,Products!$A$2:$H$16,3,FALSE)</f>
        <v>Jawaharlal Nehru</v>
      </c>
      <c r="H217" t="str">
        <f>VLOOKUP(C217,Products!$A$2:$H$16,4,FALSE)</f>
        <v>Hard Cover</v>
      </c>
      <c r="I217">
        <f>VLOOKUP(C217,Products!$A$2:$H$16,5,FALSE)</f>
        <v>1934</v>
      </c>
      <c r="J217" s="29">
        <f>VLOOKUP(C217,Products!$A$2:$H$16,6,FALSE)</f>
        <v>750.45899999999995</v>
      </c>
      <c r="K217" s="32">
        <f>VLOOKUP(C217,Products!$A$2:$H$16,7,FALSE)</f>
        <v>0.2</v>
      </c>
      <c r="L217" s="29">
        <f>VLOOKUP(C217,Products!$A$2:$H$16,8,FALSE)</f>
        <v>900.55079999999998</v>
      </c>
      <c r="M217" s="41">
        <f t="shared" si="9"/>
        <v>5</v>
      </c>
      <c r="N217" s="43">
        <f t="shared" si="10"/>
        <v>4502.7539999999999</v>
      </c>
      <c r="O217" s="43">
        <f t="shared" si="11"/>
        <v>3752.2949999999996</v>
      </c>
    </row>
    <row r="218" spans="1:15" x14ac:dyDescent="0.25">
      <c r="A218" s="31">
        <v>41412</v>
      </c>
      <c r="B218" t="s">
        <v>41</v>
      </c>
      <c r="C218" s="30">
        <v>6</v>
      </c>
      <c r="D218" s="30" t="s">
        <v>34</v>
      </c>
      <c r="E218" s="30">
        <v>1</v>
      </c>
      <c r="F218" t="str">
        <f>VLOOKUP(C218,Products!$A$2:$H$16,2,FALSE)</f>
        <v>The Discovery of India</v>
      </c>
      <c r="G218" t="str">
        <f>VLOOKUP(C218,Products!$A$2:$H$16,3,FALSE)</f>
        <v>Jawaharlal Nehru</v>
      </c>
      <c r="H218" t="str">
        <f>VLOOKUP(C218,Products!$A$2:$H$16,4,FALSE)</f>
        <v>Soft Cover</v>
      </c>
      <c r="I218">
        <f>VLOOKUP(C218,Products!$A$2:$H$16,5,FALSE)</f>
        <v>1946</v>
      </c>
      <c r="J218" s="29">
        <f>VLOOKUP(C218,Products!$A$2:$H$16,6,FALSE)</f>
        <v>499</v>
      </c>
      <c r="K218" s="32">
        <f>VLOOKUP(C218,Products!$A$2:$H$16,7,FALSE)</f>
        <v>0.3</v>
      </c>
      <c r="L218" s="29">
        <f>VLOOKUP(C218,Products!$A$2:$H$16,8,FALSE)</f>
        <v>648.70000000000005</v>
      </c>
      <c r="M218" s="41">
        <f t="shared" si="9"/>
        <v>5</v>
      </c>
      <c r="N218" s="43">
        <f t="shared" si="10"/>
        <v>648.70000000000005</v>
      </c>
      <c r="O218" s="43">
        <f t="shared" si="11"/>
        <v>499</v>
      </c>
    </row>
    <row r="219" spans="1:15" x14ac:dyDescent="0.25">
      <c r="A219" s="31">
        <v>41414</v>
      </c>
      <c r="B219" t="s">
        <v>39</v>
      </c>
      <c r="C219" s="30">
        <v>11</v>
      </c>
      <c r="D219" s="30" t="s">
        <v>34</v>
      </c>
      <c r="E219" s="30">
        <v>7</v>
      </c>
      <c r="F219" t="str">
        <f>VLOOKUP(C219,Products!$A$2:$H$16,2,FALSE)</f>
        <v>The Discovery of India</v>
      </c>
      <c r="G219" t="str">
        <f>VLOOKUP(C219,Products!$A$2:$H$16,3,FALSE)</f>
        <v>Jawaharlal Nehru</v>
      </c>
      <c r="H219" t="str">
        <f>VLOOKUP(C219,Products!$A$2:$H$16,4,FALSE)</f>
        <v>e-book</v>
      </c>
      <c r="I219">
        <f>VLOOKUP(C219,Products!$A$2:$H$16,5,FALSE)</f>
        <v>2004</v>
      </c>
      <c r="J219" s="29">
        <f>VLOOKUP(C219,Products!$A$2:$H$16,6,FALSE)</f>
        <v>250</v>
      </c>
      <c r="K219" s="32">
        <f>VLOOKUP(C219,Products!$A$2:$H$16,7,FALSE)</f>
        <v>0.3</v>
      </c>
      <c r="L219" s="29">
        <f>VLOOKUP(C219,Products!$A$2:$H$16,8,FALSE)</f>
        <v>325</v>
      </c>
      <c r="M219" s="41">
        <f t="shared" si="9"/>
        <v>5</v>
      </c>
      <c r="N219" s="43">
        <f t="shared" si="10"/>
        <v>2275</v>
      </c>
      <c r="O219" s="43">
        <f t="shared" si="11"/>
        <v>1750</v>
      </c>
    </row>
    <row r="220" spans="1:15" x14ac:dyDescent="0.25">
      <c r="A220" s="31">
        <v>41414</v>
      </c>
      <c r="B220" t="s">
        <v>36</v>
      </c>
      <c r="C220" s="30">
        <v>3</v>
      </c>
      <c r="D220" s="30" t="s">
        <v>34</v>
      </c>
      <c r="E220" s="30">
        <v>12</v>
      </c>
      <c r="F220" t="str">
        <f>VLOOKUP(C220,Products!$A$2:$H$16,2,FALSE)</f>
        <v>Glimpses of World History</v>
      </c>
      <c r="G220" t="str">
        <f>VLOOKUP(C220,Products!$A$2:$H$16,3,FALSE)</f>
        <v>Jawaharlal Nehru</v>
      </c>
      <c r="H220" t="str">
        <f>VLOOKUP(C220,Products!$A$2:$H$16,4,FALSE)</f>
        <v>Hard Cover</v>
      </c>
      <c r="I220">
        <f>VLOOKUP(C220,Products!$A$2:$H$16,5,FALSE)</f>
        <v>1934</v>
      </c>
      <c r="J220" s="29">
        <f>VLOOKUP(C220,Products!$A$2:$H$16,6,FALSE)</f>
        <v>750.45899999999995</v>
      </c>
      <c r="K220" s="32">
        <f>VLOOKUP(C220,Products!$A$2:$H$16,7,FALSE)</f>
        <v>0.2</v>
      </c>
      <c r="L220" s="29">
        <f>VLOOKUP(C220,Products!$A$2:$H$16,8,FALSE)</f>
        <v>900.55079999999998</v>
      </c>
      <c r="M220" s="41">
        <f t="shared" si="9"/>
        <v>5</v>
      </c>
      <c r="N220" s="43">
        <f t="shared" si="10"/>
        <v>10806.6096</v>
      </c>
      <c r="O220" s="43">
        <f t="shared" si="11"/>
        <v>9005.5079999999998</v>
      </c>
    </row>
    <row r="221" spans="1:15" x14ac:dyDescent="0.25">
      <c r="A221" s="31">
        <v>41415</v>
      </c>
      <c r="B221" t="s">
        <v>42</v>
      </c>
      <c r="C221" s="30">
        <v>15</v>
      </c>
      <c r="D221" s="30" t="s">
        <v>34</v>
      </c>
      <c r="E221" s="30">
        <v>4</v>
      </c>
      <c r="F221" t="str">
        <f>VLOOKUP(C221,Products!$A$2:$H$16,2,FALSE)</f>
        <v>Wings of Fire</v>
      </c>
      <c r="G221" t="str">
        <f>VLOOKUP(C221,Products!$A$2:$H$16,3,FALSE)</f>
        <v>APJ Abdul Kalam,
Arun Tiwari</v>
      </c>
      <c r="H221" t="str">
        <f>VLOOKUP(C221,Products!$A$2:$H$16,4,FALSE)</f>
        <v>e-book</v>
      </c>
      <c r="I221">
        <f>VLOOKUP(C221,Products!$A$2:$H$16,5,FALSE)</f>
        <v>2005</v>
      </c>
      <c r="J221" s="29">
        <f>VLOOKUP(C221,Products!$A$2:$H$16,6,FALSE)</f>
        <v>500</v>
      </c>
      <c r="K221" s="32">
        <f>VLOOKUP(C221,Products!$A$2:$H$16,7,FALSE)</f>
        <v>0.1</v>
      </c>
      <c r="L221" s="29">
        <f>VLOOKUP(C221,Products!$A$2:$H$16,8,FALSE)</f>
        <v>550</v>
      </c>
      <c r="M221" s="41">
        <f t="shared" si="9"/>
        <v>5</v>
      </c>
      <c r="N221" s="43">
        <f t="shared" si="10"/>
        <v>2200</v>
      </c>
      <c r="O221" s="43">
        <f t="shared" si="11"/>
        <v>2000</v>
      </c>
    </row>
    <row r="222" spans="1:15" x14ac:dyDescent="0.25">
      <c r="A222" s="31">
        <v>41416</v>
      </c>
      <c r="B222" t="s">
        <v>41</v>
      </c>
      <c r="C222" s="30">
        <v>7</v>
      </c>
      <c r="D222" s="30" t="s">
        <v>34</v>
      </c>
      <c r="E222" s="30">
        <v>11</v>
      </c>
      <c r="F222" t="str">
        <f>VLOOKUP(C222,Products!$A$2:$H$16,2,FALSE)</f>
        <v>The Story of my Experiments with Truth</v>
      </c>
      <c r="G222" t="str">
        <f>VLOOKUP(C222,Products!$A$2:$H$16,3,FALSE)</f>
        <v>Mahatma Gandhi</v>
      </c>
      <c r="H222" t="str">
        <f>VLOOKUP(C222,Products!$A$2:$H$16,4,FALSE)</f>
        <v>Soft Cover</v>
      </c>
      <c r="I222">
        <f>VLOOKUP(C222,Products!$A$2:$H$16,5,FALSE)</f>
        <v>1927</v>
      </c>
      <c r="J222" s="29">
        <f>VLOOKUP(C222,Products!$A$2:$H$16,6,FALSE)</f>
        <v>109</v>
      </c>
      <c r="K222" s="32">
        <f>VLOOKUP(C222,Products!$A$2:$H$16,7,FALSE)</f>
        <v>0.3</v>
      </c>
      <c r="L222" s="29">
        <f>VLOOKUP(C222,Products!$A$2:$H$16,8,FALSE)</f>
        <v>141.69999999999999</v>
      </c>
      <c r="M222" s="41">
        <f t="shared" si="9"/>
        <v>5</v>
      </c>
      <c r="N222" s="43">
        <f t="shared" si="10"/>
        <v>1558.6999999999998</v>
      </c>
      <c r="O222" s="43">
        <f t="shared" si="11"/>
        <v>1199</v>
      </c>
    </row>
    <row r="223" spans="1:15" x14ac:dyDescent="0.25">
      <c r="A223" s="31">
        <v>41417</v>
      </c>
      <c r="B223" t="s">
        <v>39</v>
      </c>
      <c r="C223" s="30">
        <v>9</v>
      </c>
      <c r="D223" s="30" t="s">
        <v>34</v>
      </c>
      <c r="E223" s="30">
        <v>5</v>
      </c>
      <c r="F223" t="str">
        <f>VLOOKUP(C223,Products!$A$2:$H$16,2,FALSE)</f>
        <v>A Guide to Health</v>
      </c>
      <c r="G223" t="str">
        <f>VLOOKUP(C223,Products!$A$2:$H$16,3,FALSE)</f>
        <v>Mahatma Gandhi</v>
      </c>
      <c r="H223" t="str">
        <f>VLOOKUP(C223,Products!$A$2:$H$16,4,FALSE)</f>
        <v>Soft Cover</v>
      </c>
      <c r="I223">
        <f>VLOOKUP(C223,Products!$A$2:$H$16,5,FALSE)</f>
        <v>1921</v>
      </c>
      <c r="J223" s="29">
        <f>VLOOKUP(C223,Products!$A$2:$H$16,6,FALSE)</f>
        <v>220</v>
      </c>
      <c r="K223" s="32">
        <f>VLOOKUP(C223,Products!$A$2:$H$16,7,FALSE)</f>
        <v>0.15</v>
      </c>
      <c r="L223" s="29">
        <f>VLOOKUP(C223,Products!$A$2:$H$16,8,FALSE)</f>
        <v>253</v>
      </c>
      <c r="M223" s="41">
        <f t="shared" si="9"/>
        <v>5</v>
      </c>
      <c r="N223" s="43">
        <f t="shared" si="10"/>
        <v>1265</v>
      </c>
      <c r="O223" s="43">
        <f t="shared" si="11"/>
        <v>1100</v>
      </c>
    </row>
    <row r="224" spans="1:15" x14ac:dyDescent="0.25">
      <c r="A224" s="31">
        <v>41417</v>
      </c>
      <c r="B224" t="s">
        <v>40</v>
      </c>
      <c r="C224" s="30">
        <v>12</v>
      </c>
      <c r="D224" s="30" t="s">
        <v>34</v>
      </c>
      <c r="E224" s="30">
        <v>9</v>
      </c>
      <c r="F224" t="str">
        <f>VLOOKUP(C224,Products!$A$2:$H$16,2,FALSE)</f>
        <v>The Story of my Experiments with Truth</v>
      </c>
      <c r="G224" t="str">
        <f>VLOOKUP(C224,Products!$A$2:$H$16,3,FALSE)</f>
        <v>Mahatma Gandhi</v>
      </c>
      <c r="H224" t="str">
        <f>VLOOKUP(C224,Products!$A$2:$H$16,4,FALSE)</f>
        <v>e-book</v>
      </c>
      <c r="I224">
        <f>VLOOKUP(C224,Products!$A$2:$H$16,5,FALSE)</f>
        <v>2004</v>
      </c>
      <c r="J224" s="29">
        <f>VLOOKUP(C224,Products!$A$2:$H$16,6,FALSE)</f>
        <v>50</v>
      </c>
      <c r="K224" s="32">
        <f>VLOOKUP(C224,Products!$A$2:$H$16,7,FALSE)</f>
        <v>0.3</v>
      </c>
      <c r="L224" s="29">
        <f>VLOOKUP(C224,Products!$A$2:$H$16,8,FALSE)</f>
        <v>65</v>
      </c>
      <c r="M224" s="41">
        <f t="shared" si="9"/>
        <v>5</v>
      </c>
      <c r="N224" s="43">
        <f t="shared" si="10"/>
        <v>585</v>
      </c>
      <c r="O224" s="43">
        <f t="shared" si="11"/>
        <v>450</v>
      </c>
    </row>
    <row r="225" spans="1:15" x14ac:dyDescent="0.25">
      <c r="A225" s="31">
        <v>41417</v>
      </c>
      <c r="B225" t="s">
        <v>41</v>
      </c>
      <c r="C225" s="30">
        <v>13</v>
      </c>
      <c r="D225" s="30" t="s">
        <v>38</v>
      </c>
      <c r="E225" s="30">
        <v>10</v>
      </c>
      <c r="F225" t="str">
        <f>VLOOKUP(C225,Products!$A$2:$H$16,2,FALSE)</f>
        <v>Glimpses of World History</v>
      </c>
      <c r="G225" t="str">
        <f>VLOOKUP(C225,Products!$A$2:$H$16,3,FALSE)</f>
        <v>Jawaharlal Nehru</v>
      </c>
      <c r="H225" t="str">
        <f>VLOOKUP(C225,Products!$A$2:$H$16,4,FALSE)</f>
        <v>e-book</v>
      </c>
      <c r="I225">
        <f>VLOOKUP(C225,Products!$A$2:$H$16,5,FALSE)</f>
        <v>2005</v>
      </c>
      <c r="J225" s="29">
        <f>VLOOKUP(C225,Products!$A$2:$H$16,6,FALSE)</f>
        <v>300</v>
      </c>
      <c r="K225" s="32">
        <f>VLOOKUP(C225,Products!$A$2:$H$16,7,FALSE)</f>
        <v>0.2</v>
      </c>
      <c r="L225" s="29">
        <f>VLOOKUP(C225,Products!$A$2:$H$16,8,FALSE)</f>
        <v>360</v>
      </c>
      <c r="M225" s="41">
        <f t="shared" si="9"/>
        <v>5</v>
      </c>
      <c r="N225" s="43">
        <f t="shared" si="10"/>
        <v>3600</v>
      </c>
      <c r="O225" s="43">
        <f t="shared" si="11"/>
        <v>3000</v>
      </c>
    </row>
    <row r="226" spans="1:15" x14ac:dyDescent="0.25">
      <c r="A226" s="31">
        <v>41418</v>
      </c>
      <c r="B226" t="s">
        <v>35</v>
      </c>
      <c r="C226" s="30">
        <v>8</v>
      </c>
      <c r="D226" s="30" t="s">
        <v>38</v>
      </c>
      <c r="E226" s="30">
        <v>19</v>
      </c>
      <c r="F226" t="str">
        <f>VLOOKUP(C226,Products!$A$2:$H$16,2,FALSE)</f>
        <v>Glimpses of World History</v>
      </c>
      <c r="G226" t="str">
        <f>VLOOKUP(C226,Products!$A$2:$H$16,3,FALSE)</f>
        <v>Jawaharlal Nehru</v>
      </c>
      <c r="H226" t="str">
        <f>VLOOKUP(C226,Products!$A$2:$H$16,4,FALSE)</f>
        <v>Soft Cover</v>
      </c>
      <c r="I226">
        <f>VLOOKUP(C226,Products!$A$2:$H$16,5,FALSE)</f>
        <v>1934</v>
      </c>
      <c r="J226" s="29">
        <f>VLOOKUP(C226,Products!$A$2:$H$16,6,FALSE)</f>
        <v>650</v>
      </c>
      <c r="K226" s="32">
        <f>VLOOKUP(C226,Products!$A$2:$H$16,7,FALSE)</f>
        <v>0.2</v>
      </c>
      <c r="L226" s="29">
        <f>VLOOKUP(C226,Products!$A$2:$H$16,8,FALSE)</f>
        <v>780</v>
      </c>
      <c r="M226" s="41">
        <f t="shared" si="9"/>
        <v>5</v>
      </c>
      <c r="N226" s="43">
        <f t="shared" si="10"/>
        <v>14820</v>
      </c>
      <c r="O226" s="43">
        <f t="shared" si="11"/>
        <v>12350</v>
      </c>
    </row>
    <row r="227" spans="1:15" x14ac:dyDescent="0.25">
      <c r="A227" s="31">
        <v>41418</v>
      </c>
      <c r="B227" t="s">
        <v>33</v>
      </c>
      <c r="C227" s="30">
        <v>5</v>
      </c>
      <c r="D227" s="30" t="s">
        <v>38</v>
      </c>
      <c r="E227" s="30">
        <v>18</v>
      </c>
      <c r="F227" t="str">
        <f>VLOOKUP(C227,Products!$A$2:$H$16,2,FALSE)</f>
        <v>Wings of Fire</v>
      </c>
      <c r="G227" t="str">
        <f>VLOOKUP(C227,Products!$A$2:$H$16,3,FALSE)</f>
        <v>APJ Abdul Kalam,
Arun Tiwari</v>
      </c>
      <c r="H227" t="str">
        <f>VLOOKUP(C227,Products!$A$2:$H$16,4,FALSE)</f>
        <v>Hard Cover</v>
      </c>
      <c r="I227">
        <f>VLOOKUP(C227,Products!$A$2:$H$16,5,FALSE)</f>
        <v>1999</v>
      </c>
      <c r="J227" s="29">
        <f>VLOOKUP(C227,Products!$A$2:$H$16,6,FALSE)</f>
        <v>1275.2488000000001</v>
      </c>
      <c r="K227" s="32">
        <f>VLOOKUP(C227,Products!$A$2:$H$16,7,FALSE)</f>
        <v>0.1</v>
      </c>
      <c r="L227" s="29">
        <f>VLOOKUP(C227,Products!$A$2:$H$16,8,FALSE)</f>
        <v>1402.77368</v>
      </c>
      <c r="M227" s="41">
        <f t="shared" si="9"/>
        <v>5</v>
      </c>
      <c r="N227" s="43">
        <f t="shared" si="10"/>
        <v>25249.926240000001</v>
      </c>
      <c r="O227" s="43">
        <f t="shared" si="11"/>
        <v>22954.4784</v>
      </c>
    </row>
    <row r="228" spans="1:15" x14ac:dyDescent="0.25">
      <c r="A228" s="31">
        <v>41418</v>
      </c>
      <c r="B228" t="s">
        <v>35</v>
      </c>
      <c r="C228" s="30">
        <v>10</v>
      </c>
      <c r="D228" s="30" t="s">
        <v>38</v>
      </c>
      <c r="E228" s="30">
        <v>10</v>
      </c>
      <c r="F228" t="str">
        <f>VLOOKUP(C228,Products!$A$2:$H$16,2,FALSE)</f>
        <v>Wings of Fire</v>
      </c>
      <c r="G228" t="str">
        <f>VLOOKUP(C228,Products!$A$2:$H$16,3,FALSE)</f>
        <v>APJ Abdul Kalam,
Arun Tiwari</v>
      </c>
      <c r="H228" t="str">
        <f>VLOOKUP(C228,Products!$A$2:$H$16,4,FALSE)</f>
        <v>Soft Cover</v>
      </c>
      <c r="I228">
        <f>VLOOKUP(C228,Products!$A$2:$H$16,5,FALSE)</f>
        <v>1999</v>
      </c>
      <c r="J228" s="29">
        <f>VLOOKUP(C228,Products!$A$2:$H$16,6,FALSE)</f>
        <v>1200</v>
      </c>
      <c r="K228" s="32">
        <f>VLOOKUP(C228,Products!$A$2:$H$16,7,FALSE)</f>
        <v>0.1</v>
      </c>
      <c r="L228" s="29">
        <f>VLOOKUP(C228,Products!$A$2:$H$16,8,FALSE)</f>
        <v>1320</v>
      </c>
      <c r="M228" s="41">
        <f t="shared" si="9"/>
        <v>5</v>
      </c>
      <c r="N228" s="43">
        <f t="shared" si="10"/>
        <v>13200</v>
      </c>
      <c r="O228" s="43">
        <f t="shared" si="11"/>
        <v>12000</v>
      </c>
    </row>
    <row r="229" spans="1:15" x14ac:dyDescent="0.25">
      <c r="A229" s="31">
        <v>41421</v>
      </c>
      <c r="B229" t="s">
        <v>42</v>
      </c>
      <c r="C229" s="30">
        <v>2</v>
      </c>
      <c r="D229" s="30" t="s">
        <v>34</v>
      </c>
      <c r="E229" s="30">
        <v>12</v>
      </c>
      <c r="F229" t="str">
        <f>VLOOKUP(C229,Products!$A$2:$H$16,2,FALSE)</f>
        <v>The Story of my Experiments with Truth</v>
      </c>
      <c r="G229" t="str">
        <f>VLOOKUP(C229,Products!$A$2:$H$16,3,FALSE)</f>
        <v>Mahatma Gandhi</v>
      </c>
      <c r="H229" t="str">
        <f>VLOOKUP(C229,Products!$A$2:$H$16,4,FALSE)</f>
        <v>Hard Cover</v>
      </c>
      <c r="I229">
        <f>VLOOKUP(C229,Products!$A$2:$H$16,5,FALSE)</f>
        <v>1927</v>
      </c>
      <c r="J229" s="29">
        <f>VLOOKUP(C229,Products!$A$2:$H$16,6,FALSE)</f>
        <v>159</v>
      </c>
      <c r="K229" s="32">
        <f>VLOOKUP(C229,Products!$A$2:$H$16,7,FALSE)</f>
        <v>0.3</v>
      </c>
      <c r="L229" s="29">
        <f>VLOOKUP(C229,Products!$A$2:$H$16,8,FALSE)</f>
        <v>206.7</v>
      </c>
      <c r="M229" s="41">
        <f t="shared" si="9"/>
        <v>5</v>
      </c>
      <c r="N229" s="43">
        <f t="shared" si="10"/>
        <v>2480.3999999999996</v>
      </c>
      <c r="O229" s="43">
        <f t="shared" si="11"/>
        <v>1908</v>
      </c>
    </row>
    <row r="230" spans="1:15" x14ac:dyDescent="0.25">
      <c r="A230" s="31">
        <v>41422</v>
      </c>
      <c r="B230" t="s">
        <v>40</v>
      </c>
      <c r="C230" s="30">
        <v>14</v>
      </c>
      <c r="D230" s="30" t="s">
        <v>38</v>
      </c>
      <c r="E230" s="30">
        <v>14</v>
      </c>
      <c r="F230" t="str">
        <f>VLOOKUP(C230,Products!$A$2:$H$16,2,FALSE)</f>
        <v>A Guide to Health</v>
      </c>
      <c r="G230" t="str">
        <f>VLOOKUP(C230,Products!$A$2:$H$16,3,FALSE)</f>
        <v>Mahatma Gandhi</v>
      </c>
      <c r="H230" t="str">
        <f>VLOOKUP(C230,Products!$A$2:$H$16,4,FALSE)</f>
        <v>e-book</v>
      </c>
      <c r="I230">
        <f>VLOOKUP(C230,Products!$A$2:$H$16,5,FALSE)</f>
        <v>2005</v>
      </c>
      <c r="J230" s="29">
        <f>VLOOKUP(C230,Products!$A$2:$H$16,6,FALSE)</f>
        <v>105</v>
      </c>
      <c r="K230" s="32">
        <f>VLOOKUP(C230,Products!$A$2:$H$16,7,FALSE)</f>
        <v>0.15</v>
      </c>
      <c r="L230" s="29">
        <f>VLOOKUP(C230,Products!$A$2:$H$16,8,FALSE)</f>
        <v>120.75</v>
      </c>
      <c r="M230" s="41">
        <f t="shared" si="9"/>
        <v>5</v>
      </c>
      <c r="N230" s="43">
        <f t="shared" si="10"/>
        <v>1690.5</v>
      </c>
      <c r="O230" s="43">
        <f t="shared" si="11"/>
        <v>1470</v>
      </c>
    </row>
    <row r="231" spans="1:15" x14ac:dyDescent="0.25">
      <c r="A231" s="31">
        <v>41425</v>
      </c>
      <c r="B231" t="s">
        <v>42</v>
      </c>
      <c r="C231" s="30">
        <v>3</v>
      </c>
      <c r="D231" s="30" t="s">
        <v>34</v>
      </c>
      <c r="E231" s="30">
        <v>1</v>
      </c>
      <c r="F231" t="str">
        <f>VLOOKUP(C231,Products!$A$2:$H$16,2,FALSE)</f>
        <v>Glimpses of World History</v>
      </c>
      <c r="G231" t="str">
        <f>VLOOKUP(C231,Products!$A$2:$H$16,3,FALSE)</f>
        <v>Jawaharlal Nehru</v>
      </c>
      <c r="H231" t="str">
        <f>VLOOKUP(C231,Products!$A$2:$H$16,4,FALSE)</f>
        <v>Hard Cover</v>
      </c>
      <c r="I231">
        <f>VLOOKUP(C231,Products!$A$2:$H$16,5,FALSE)</f>
        <v>1934</v>
      </c>
      <c r="J231" s="29">
        <f>VLOOKUP(C231,Products!$A$2:$H$16,6,FALSE)</f>
        <v>750.45899999999995</v>
      </c>
      <c r="K231" s="32">
        <f>VLOOKUP(C231,Products!$A$2:$H$16,7,FALSE)</f>
        <v>0.2</v>
      </c>
      <c r="L231" s="29">
        <f>VLOOKUP(C231,Products!$A$2:$H$16,8,FALSE)</f>
        <v>900.55079999999998</v>
      </c>
      <c r="M231" s="41">
        <f t="shared" si="9"/>
        <v>5</v>
      </c>
      <c r="N231" s="43">
        <f t="shared" si="10"/>
        <v>900.55079999999998</v>
      </c>
      <c r="O231" s="43">
        <f t="shared" si="11"/>
        <v>750.45899999999995</v>
      </c>
    </row>
    <row r="232" spans="1:15" x14ac:dyDescent="0.25">
      <c r="A232" s="31">
        <v>41425</v>
      </c>
      <c r="B232" t="s">
        <v>36</v>
      </c>
      <c r="C232" s="30">
        <v>13</v>
      </c>
      <c r="D232" s="30" t="s">
        <v>34</v>
      </c>
      <c r="E232" s="30">
        <v>11</v>
      </c>
      <c r="F232" t="str">
        <f>VLOOKUP(C232,Products!$A$2:$H$16,2,FALSE)</f>
        <v>Glimpses of World History</v>
      </c>
      <c r="G232" t="str">
        <f>VLOOKUP(C232,Products!$A$2:$H$16,3,FALSE)</f>
        <v>Jawaharlal Nehru</v>
      </c>
      <c r="H232" t="str">
        <f>VLOOKUP(C232,Products!$A$2:$H$16,4,FALSE)</f>
        <v>e-book</v>
      </c>
      <c r="I232">
        <f>VLOOKUP(C232,Products!$A$2:$H$16,5,FALSE)</f>
        <v>2005</v>
      </c>
      <c r="J232" s="29">
        <f>VLOOKUP(C232,Products!$A$2:$H$16,6,FALSE)</f>
        <v>300</v>
      </c>
      <c r="K232" s="32">
        <f>VLOOKUP(C232,Products!$A$2:$H$16,7,FALSE)</f>
        <v>0.2</v>
      </c>
      <c r="L232" s="29">
        <f>VLOOKUP(C232,Products!$A$2:$H$16,8,FALSE)</f>
        <v>360</v>
      </c>
      <c r="M232" s="41">
        <f t="shared" si="9"/>
        <v>5</v>
      </c>
      <c r="N232" s="43">
        <f t="shared" si="10"/>
        <v>3960</v>
      </c>
      <c r="O232" s="43">
        <f t="shared" si="11"/>
        <v>3300</v>
      </c>
    </row>
    <row r="233" spans="1:15" x14ac:dyDescent="0.25">
      <c r="A233" s="31">
        <v>41425</v>
      </c>
      <c r="B233" t="s">
        <v>41</v>
      </c>
      <c r="C233" s="30">
        <v>10</v>
      </c>
      <c r="D233" s="30" t="s">
        <v>34</v>
      </c>
      <c r="E233" s="30">
        <v>2</v>
      </c>
      <c r="F233" t="str">
        <f>VLOOKUP(C233,Products!$A$2:$H$16,2,FALSE)</f>
        <v>Wings of Fire</v>
      </c>
      <c r="G233" t="str">
        <f>VLOOKUP(C233,Products!$A$2:$H$16,3,FALSE)</f>
        <v>APJ Abdul Kalam,
Arun Tiwari</v>
      </c>
      <c r="H233" t="str">
        <f>VLOOKUP(C233,Products!$A$2:$H$16,4,FALSE)</f>
        <v>Soft Cover</v>
      </c>
      <c r="I233">
        <f>VLOOKUP(C233,Products!$A$2:$H$16,5,FALSE)</f>
        <v>1999</v>
      </c>
      <c r="J233" s="29">
        <f>VLOOKUP(C233,Products!$A$2:$H$16,6,FALSE)</f>
        <v>1200</v>
      </c>
      <c r="K233" s="32">
        <f>VLOOKUP(C233,Products!$A$2:$H$16,7,FALSE)</f>
        <v>0.1</v>
      </c>
      <c r="L233" s="29">
        <f>VLOOKUP(C233,Products!$A$2:$H$16,8,FALSE)</f>
        <v>1320</v>
      </c>
      <c r="M233" s="41">
        <f t="shared" si="9"/>
        <v>5</v>
      </c>
      <c r="N233" s="43">
        <f t="shared" si="10"/>
        <v>2640</v>
      </c>
      <c r="O233" s="43">
        <f t="shared" si="11"/>
        <v>2400</v>
      </c>
    </row>
    <row r="234" spans="1:15" x14ac:dyDescent="0.25">
      <c r="A234" s="31">
        <v>41426</v>
      </c>
      <c r="B234" t="s">
        <v>37</v>
      </c>
      <c r="C234" s="30">
        <v>15</v>
      </c>
      <c r="D234" s="30" t="s">
        <v>34</v>
      </c>
      <c r="E234" s="30">
        <v>9</v>
      </c>
      <c r="F234" t="str">
        <f>VLOOKUP(C234,Products!$A$2:$H$16,2,FALSE)</f>
        <v>Wings of Fire</v>
      </c>
      <c r="G234" t="str">
        <f>VLOOKUP(C234,Products!$A$2:$H$16,3,FALSE)</f>
        <v>APJ Abdul Kalam,
Arun Tiwari</v>
      </c>
      <c r="H234" t="str">
        <f>VLOOKUP(C234,Products!$A$2:$H$16,4,FALSE)</f>
        <v>e-book</v>
      </c>
      <c r="I234">
        <f>VLOOKUP(C234,Products!$A$2:$H$16,5,FALSE)</f>
        <v>2005</v>
      </c>
      <c r="J234" s="29">
        <f>VLOOKUP(C234,Products!$A$2:$H$16,6,FALSE)</f>
        <v>500</v>
      </c>
      <c r="K234" s="32">
        <f>VLOOKUP(C234,Products!$A$2:$H$16,7,FALSE)</f>
        <v>0.1</v>
      </c>
      <c r="L234" s="29">
        <f>VLOOKUP(C234,Products!$A$2:$H$16,8,FALSE)</f>
        <v>550</v>
      </c>
      <c r="M234" s="41">
        <f t="shared" si="9"/>
        <v>6</v>
      </c>
      <c r="N234" s="43">
        <f t="shared" si="10"/>
        <v>4950</v>
      </c>
      <c r="O234" s="43">
        <f t="shared" si="11"/>
        <v>4500</v>
      </c>
    </row>
    <row r="235" spans="1:15" x14ac:dyDescent="0.25">
      <c r="A235" s="31">
        <v>41426</v>
      </c>
      <c r="B235" t="s">
        <v>33</v>
      </c>
      <c r="C235" s="30">
        <v>6</v>
      </c>
      <c r="D235" s="30" t="s">
        <v>34</v>
      </c>
      <c r="E235" s="30">
        <v>17</v>
      </c>
      <c r="F235" t="str">
        <f>VLOOKUP(C235,Products!$A$2:$H$16,2,FALSE)</f>
        <v>The Discovery of India</v>
      </c>
      <c r="G235" t="str">
        <f>VLOOKUP(C235,Products!$A$2:$H$16,3,FALSE)</f>
        <v>Jawaharlal Nehru</v>
      </c>
      <c r="H235" t="str">
        <f>VLOOKUP(C235,Products!$A$2:$H$16,4,FALSE)</f>
        <v>Soft Cover</v>
      </c>
      <c r="I235">
        <f>VLOOKUP(C235,Products!$A$2:$H$16,5,FALSE)</f>
        <v>1946</v>
      </c>
      <c r="J235" s="29">
        <f>VLOOKUP(C235,Products!$A$2:$H$16,6,FALSE)</f>
        <v>499</v>
      </c>
      <c r="K235" s="32">
        <f>VLOOKUP(C235,Products!$A$2:$H$16,7,FALSE)</f>
        <v>0.3</v>
      </c>
      <c r="L235" s="29">
        <f>VLOOKUP(C235,Products!$A$2:$H$16,8,FALSE)</f>
        <v>648.70000000000005</v>
      </c>
      <c r="M235" s="41">
        <f t="shared" si="9"/>
        <v>6</v>
      </c>
      <c r="N235" s="43">
        <f t="shared" si="10"/>
        <v>11027.900000000001</v>
      </c>
      <c r="O235" s="43">
        <f t="shared" si="11"/>
        <v>8483</v>
      </c>
    </row>
    <row r="236" spans="1:15" x14ac:dyDescent="0.25">
      <c r="A236" s="31">
        <v>41426</v>
      </c>
      <c r="B236" t="s">
        <v>40</v>
      </c>
      <c r="C236" s="30">
        <v>11</v>
      </c>
      <c r="D236" s="30" t="s">
        <v>38</v>
      </c>
      <c r="E236" s="30">
        <v>9</v>
      </c>
      <c r="F236" t="str">
        <f>VLOOKUP(C236,Products!$A$2:$H$16,2,FALSE)</f>
        <v>The Discovery of India</v>
      </c>
      <c r="G236" t="str">
        <f>VLOOKUP(C236,Products!$A$2:$H$16,3,FALSE)</f>
        <v>Jawaharlal Nehru</v>
      </c>
      <c r="H236" t="str">
        <f>VLOOKUP(C236,Products!$A$2:$H$16,4,FALSE)</f>
        <v>e-book</v>
      </c>
      <c r="I236">
        <f>VLOOKUP(C236,Products!$A$2:$H$16,5,FALSE)</f>
        <v>2004</v>
      </c>
      <c r="J236" s="29">
        <f>VLOOKUP(C236,Products!$A$2:$H$16,6,FALSE)</f>
        <v>250</v>
      </c>
      <c r="K236" s="32">
        <f>VLOOKUP(C236,Products!$A$2:$H$16,7,FALSE)</f>
        <v>0.3</v>
      </c>
      <c r="L236" s="29">
        <f>VLOOKUP(C236,Products!$A$2:$H$16,8,FALSE)</f>
        <v>325</v>
      </c>
      <c r="M236" s="41">
        <f t="shared" si="9"/>
        <v>6</v>
      </c>
      <c r="N236" s="43">
        <f t="shared" si="10"/>
        <v>2925</v>
      </c>
      <c r="O236" s="43">
        <f t="shared" si="11"/>
        <v>2250</v>
      </c>
    </row>
    <row r="237" spans="1:15" x14ac:dyDescent="0.25">
      <c r="A237" s="31">
        <v>41426</v>
      </c>
      <c r="B237" t="s">
        <v>41</v>
      </c>
      <c r="C237" s="30">
        <v>2</v>
      </c>
      <c r="D237" s="30" t="s">
        <v>34</v>
      </c>
      <c r="E237" s="30">
        <v>14</v>
      </c>
      <c r="F237" t="str">
        <f>VLOOKUP(C237,Products!$A$2:$H$16,2,FALSE)</f>
        <v>The Story of my Experiments with Truth</v>
      </c>
      <c r="G237" t="str">
        <f>VLOOKUP(C237,Products!$A$2:$H$16,3,FALSE)</f>
        <v>Mahatma Gandhi</v>
      </c>
      <c r="H237" t="str">
        <f>VLOOKUP(C237,Products!$A$2:$H$16,4,FALSE)</f>
        <v>Hard Cover</v>
      </c>
      <c r="I237">
        <f>VLOOKUP(C237,Products!$A$2:$H$16,5,FALSE)</f>
        <v>1927</v>
      </c>
      <c r="J237" s="29">
        <f>VLOOKUP(C237,Products!$A$2:$H$16,6,FALSE)</f>
        <v>159</v>
      </c>
      <c r="K237" s="32">
        <f>VLOOKUP(C237,Products!$A$2:$H$16,7,FALSE)</f>
        <v>0.3</v>
      </c>
      <c r="L237" s="29">
        <f>VLOOKUP(C237,Products!$A$2:$H$16,8,FALSE)</f>
        <v>206.7</v>
      </c>
      <c r="M237" s="41">
        <f t="shared" si="9"/>
        <v>6</v>
      </c>
      <c r="N237" s="43">
        <f t="shared" si="10"/>
        <v>2893.7999999999997</v>
      </c>
      <c r="O237" s="43">
        <f t="shared" si="11"/>
        <v>2226</v>
      </c>
    </row>
    <row r="238" spans="1:15" x14ac:dyDescent="0.25">
      <c r="A238" s="31">
        <v>41427</v>
      </c>
      <c r="B238" t="s">
        <v>41</v>
      </c>
      <c r="C238" s="30">
        <v>9</v>
      </c>
      <c r="D238" s="30" t="s">
        <v>34</v>
      </c>
      <c r="E238" s="30">
        <v>4</v>
      </c>
      <c r="F238" t="str">
        <f>VLOOKUP(C238,Products!$A$2:$H$16,2,FALSE)</f>
        <v>A Guide to Health</v>
      </c>
      <c r="G238" t="str">
        <f>VLOOKUP(C238,Products!$A$2:$H$16,3,FALSE)</f>
        <v>Mahatma Gandhi</v>
      </c>
      <c r="H238" t="str">
        <f>VLOOKUP(C238,Products!$A$2:$H$16,4,FALSE)</f>
        <v>Soft Cover</v>
      </c>
      <c r="I238">
        <f>VLOOKUP(C238,Products!$A$2:$H$16,5,FALSE)</f>
        <v>1921</v>
      </c>
      <c r="J238" s="29">
        <f>VLOOKUP(C238,Products!$A$2:$H$16,6,FALSE)</f>
        <v>220</v>
      </c>
      <c r="K238" s="32">
        <f>VLOOKUP(C238,Products!$A$2:$H$16,7,FALSE)</f>
        <v>0.15</v>
      </c>
      <c r="L238" s="29">
        <f>VLOOKUP(C238,Products!$A$2:$H$16,8,FALSE)</f>
        <v>253</v>
      </c>
      <c r="M238" s="41">
        <f t="shared" si="9"/>
        <v>6</v>
      </c>
      <c r="N238" s="43">
        <f t="shared" si="10"/>
        <v>1012</v>
      </c>
      <c r="O238" s="43">
        <f t="shared" si="11"/>
        <v>880</v>
      </c>
    </row>
    <row r="239" spans="1:15" x14ac:dyDescent="0.25">
      <c r="A239" s="31">
        <v>41428</v>
      </c>
      <c r="B239" t="s">
        <v>33</v>
      </c>
      <c r="C239" s="30">
        <v>11</v>
      </c>
      <c r="D239" s="30" t="s">
        <v>38</v>
      </c>
      <c r="E239" s="30">
        <v>17</v>
      </c>
      <c r="F239" t="str">
        <f>VLOOKUP(C239,Products!$A$2:$H$16,2,FALSE)</f>
        <v>The Discovery of India</v>
      </c>
      <c r="G239" t="str">
        <f>VLOOKUP(C239,Products!$A$2:$H$16,3,FALSE)</f>
        <v>Jawaharlal Nehru</v>
      </c>
      <c r="H239" t="str">
        <f>VLOOKUP(C239,Products!$A$2:$H$16,4,FALSE)</f>
        <v>e-book</v>
      </c>
      <c r="I239">
        <f>VLOOKUP(C239,Products!$A$2:$H$16,5,FALSE)</f>
        <v>2004</v>
      </c>
      <c r="J239" s="29">
        <f>VLOOKUP(C239,Products!$A$2:$H$16,6,FALSE)</f>
        <v>250</v>
      </c>
      <c r="K239" s="32">
        <f>VLOOKUP(C239,Products!$A$2:$H$16,7,FALSE)</f>
        <v>0.3</v>
      </c>
      <c r="L239" s="29">
        <f>VLOOKUP(C239,Products!$A$2:$H$16,8,FALSE)</f>
        <v>325</v>
      </c>
      <c r="M239" s="41">
        <f t="shared" si="9"/>
        <v>6</v>
      </c>
      <c r="N239" s="43">
        <f t="shared" si="10"/>
        <v>5525</v>
      </c>
      <c r="O239" s="43">
        <f t="shared" si="11"/>
        <v>4250</v>
      </c>
    </row>
    <row r="240" spans="1:15" x14ac:dyDescent="0.25">
      <c r="A240" s="31">
        <v>41428</v>
      </c>
      <c r="B240" t="s">
        <v>37</v>
      </c>
      <c r="C240" s="30">
        <v>9</v>
      </c>
      <c r="D240" s="30" t="s">
        <v>34</v>
      </c>
      <c r="E240" s="30">
        <v>14</v>
      </c>
      <c r="F240" t="str">
        <f>VLOOKUP(C240,Products!$A$2:$H$16,2,FALSE)</f>
        <v>A Guide to Health</v>
      </c>
      <c r="G240" t="str">
        <f>VLOOKUP(C240,Products!$A$2:$H$16,3,FALSE)</f>
        <v>Mahatma Gandhi</v>
      </c>
      <c r="H240" t="str">
        <f>VLOOKUP(C240,Products!$A$2:$H$16,4,FALSE)</f>
        <v>Soft Cover</v>
      </c>
      <c r="I240">
        <f>VLOOKUP(C240,Products!$A$2:$H$16,5,FALSE)</f>
        <v>1921</v>
      </c>
      <c r="J240" s="29">
        <f>VLOOKUP(C240,Products!$A$2:$H$16,6,FALSE)</f>
        <v>220</v>
      </c>
      <c r="K240" s="32">
        <f>VLOOKUP(C240,Products!$A$2:$H$16,7,FALSE)</f>
        <v>0.15</v>
      </c>
      <c r="L240" s="29">
        <f>VLOOKUP(C240,Products!$A$2:$H$16,8,FALSE)</f>
        <v>253</v>
      </c>
      <c r="M240" s="41">
        <f t="shared" si="9"/>
        <v>6</v>
      </c>
      <c r="N240" s="43">
        <f t="shared" si="10"/>
        <v>3542</v>
      </c>
      <c r="O240" s="43">
        <f t="shared" si="11"/>
        <v>3080</v>
      </c>
    </row>
    <row r="241" spans="1:15" x14ac:dyDescent="0.25">
      <c r="A241" s="31">
        <v>41429</v>
      </c>
      <c r="B241" t="s">
        <v>35</v>
      </c>
      <c r="C241" s="30">
        <v>7</v>
      </c>
      <c r="D241" s="30" t="s">
        <v>38</v>
      </c>
      <c r="E241" s="30">
        <v>7</v>
      </c>
      <c r="F241" t="str">
        <f>VLOOKUP(C241,Products!$A$2:$H$16,2,FALSE)</f>
        <v>The Story of my Experiments with Truth</v>
      </c>
      <c r="G241" t="str">
        <f>VLOOKUP(C241,Products!$A$2:$H$16,3,FALSE)</f>
        <v>Mahatma Gandhi</v>
      </c>
      <c r="H241" t="str">
        <f>VLOOKUP(C241,Products!$A$2:$H$16,4,FALSE)</f>
        <v>Soft Cover</v>
      </c>
      <c r="I241">
        <f>VLOOKUP(C241,Products!$A$2:$H$16,5,FALSE)</f>
        <v>1927</v>
      </c>
      <c r="J241" s="29">
        <f>VLOOKUP(C241,Products!$A$2:$H$16,6,FALSE)</f>
        <v>109</v>
      </c>
      <c r="K241" s="32">
        <f>VLOOKUP(C241,Products!$A$2:$H$16,7,FALSE)</f>
        <v>0.3</v>
      </c>
      <c r="L241" s="29">
        <f>VLOOKUP(C241,Products!$A$2:$H$16,8,FALSE)</f>
        <v>141.69999999999999</v>
      </c>
      <c r="M241" s="41">
        <f t="shared" si="9"/>
        <v>6</v>
      </c>
      <c r="N241" s="43">
        <f t="shared" si="10"/>
        <v>991.89999999999986</v>
      </c>
      <c r="O241" s="43">
        <f t="shared" si="11"/>
        <v>763</v>
      </c>
    </row>
    <row r="242" spans="1:15" x14ac:dyDescent="0.25">
      <c r="A242" s="31">
        <v>41430</v>
      </c>
      <c r="B242" t="s">
        <v>41</v>
      </c>
      <c r="C242" s="30">
        <v>11</v>
      </c>
      <c r="D242" s="30" t="s">
        <v>34</v>
      </c>
      <c r="E242" s="30">
        <v>16</v>
      </c>
      <c r="F242" t="str">
        <f>VLOOKUP(C242,Products!$A$2:$H$16,2,FALSE)</f>
        <v>The Discovery of India</v>
      </c>
      <c r="G242" t="str">
        <f>VLOOKUP(C242,Products!$A$2:$H$16,3,FALSE)</f>
        <v>Jawaharlal Nehru</v>
      </c>
      <c r="H242" t="str">
        <f>VLOOKUP(C242,Products!$A$2:$H$16,4,FALSE)</f>
        <v>e-book</v>
      </c>
      <c r="I242">
        <f>VLOOKUP(C242,Products!$A$2:$H$16,5,FALSE)</f>
        <v>2004</v>
      </c>
      <c r="J242" s="29">
        <f>VLOOKUP(C242,Products!$A$2:$H$16,6,FALSE)</f>
        <v>250</v>
      </c>
      <c r="K242" s="32">
        <f>VLOOKUP(C242,Products!$A$2:$H$16,7,FALSE)</f>
        <v>0.3</v>
      </c>
      <c r="L242" s="29">
        <f>VLOOKUP(C242,Products!$A$2:$H$16,8,FALSE)</f>
        <v>325</v>
      </c>
      <c r="M242" s="41">
        <f t="shared" si="9"/>
        <v>6</v>
      </c>
      <c r="N242" s="43">
        <f t="shared" si="10"/>
        <v>5200</v>
      </c>
      <c r="O242" s="43">
        <f t="shared" si="11"/>
        <v>4000</v>
      </c>
    </row>
    <row r="243" spans="1:15" x14ac:dyDescent="0.25">
      <c r="A243" s="31">
        <v>41430</v>
      </c>
      <c r="B243" t="s">
        <v>40</v>
      </c>
      <c r="C243" s="30">
        <v>9</v>
      </c>
      <c r="D243" s="30" t="s">
        <v>34</v>
      </c>
      <c r="E243" s="30">
        <v>20</v>
      </c>
      <c r="F243" t="str">
        <f>VLOOKUP(C243,Products!$A$2:$H$16,2,FALSE)</f>
        <v>A Guide to Health</v>
      </c>
      <c r="G243" t="str">
        <f>VLOOKUP(C243,Products!$A$2:$H$16,3,FALSE)</f>
        <v>Mahatma Gandhi</v>
      </c>
      <c r="H243" t="str">
        <f>VLOOKUP(C243,Products!$A$2:$H$16,4,FALSE)</f>
        <v>Soft Cover</v>
      </c>
      <c r="I243">
        <f>VLOOKUP(C243,Products!$A$2:$H$16,5,FALSE)</f>
        <v>1921</v>
      </c>
      <c r="J243" s="29">
        <f>VLOOKUP(C243,Products!$A$2:$H$16,6,FALSE)</f>
        <v>220</v>
      </c>
      <c r="K243" s="32">
        <f>VLOOKUP(C243,Products!$A$2:$H$16,7,FALSE)</f>
        <v>0.15</v>
      </c>
      <c r="L243" s="29">
        <f>VLOOKUP(C243,Products!$A$2:$H$16,8,FALSE)</f>
        <v>253</v>
      </c>
      <c r="M243" s="41">
        <f t="shared" si="9"/>
        <v>6</v>
      </c>
      <c r="N243" s="43">
        <f t="shared" si="10"/>
        <v>5060</v>
      </c>
      <c r="O243" s="43">
        <f t="shared" si="11"/>
        <v>4400</v>
      </c>
    </row>
    <row r="244" spans="1:15" x14ac:dyDescent="0.25">
      <c r="A244" s="31">
        <v>41430</v>
      </c>
      <c r="B244" t="s">
        <v>36</v>
      </c>
      <c r="C244" s="30">
        <v>14</v>
      </c>
      <c r="D244" s="30" t="s">
        <v>38</v>
      </c>
      <c r="E244" s="30">
        <v>1</v>
      </c>
      <c r="F244" t="str">
        <f>VLOOKUP(C244,Products!$A$2:$H$16,2,FALSE)</f>
        <v>A Guide to Health</v>
      </c>
      <c r="G244" t="str">
        <f>VLOOKUP(C244,Products!$A$2:$H$16,3,FALSE)</f>
        <v>Mahatma Gandhi</v>
      </c>
      <c r="H244" t="str">
        <f>VLOOKUP(C244,Products!$A$2:$H$16,4,FALSE)</f>
        <v>e-book</v>
      </c>
      <c r="I244">
        <f>VLOOKUP(C244,Products!$A$2:$H$16,5,FALSE)</f>
        <v>2005</v>
      </c>
      <c r="J244" s="29">
        <f>VLOOKUP(C244,Products!$A$2:$H$16,6,FALSE)</f>
        <v>105</v>
      </c>
      <c r="K244" s="32">
        <f>VLOOKUP(C244,Products!$A$2:$H$16,7,FALSE)</f>
        <v>0.15</v>
      </c>
      <c r="L244" s="29">
        <f>VLOOKUP(C244,Products!$A$2:$H$16,8,FALSE)</f>
        <v>120.75</v>
      </c>
      <c r="M244" s="41">
        <f t="shared" si="9"/>
        <v>6</v>
      </c>
      <c r="N244" s="43">
        <f t="shared" si="10"/>
        <v>120.75</v>
      </c>
      <c r="O244" s="43">
        <f t="shared" si="11"/>
        <v>105</v>
      </c>
    </row>
    <row r="245" spans="1:15" x14ac:dyDescent="0.25">
      <c r="A245" s="31">
        <v>41430</v>
      </c>
      <c r="B245" t="s">
        <v>36</v>
      </c>
      <c r="C245" s="30">
        <v>4</v>
      </c>
      <c r="D245" s="30" t="s">
        <v>34</v>
      </c>
      <c r="E245" s="30">
        <v>10</v>
      </c>
      <c r="F245" t="str">
        <f>VLOOKUP(C245,Products!$A$2:$H$16,2,FALSE)</f>
        <v>A Guide to Health</v>
      </c>
      <c r="G245" t="str">
        <f>VLOOKUP(C245,Products!$A$2:$H$16,3,FALSE)</f>
        <v>Mahatma Gandhi</v>
      </c>
      <c r="H245" t="str">
        <f>VLOOKUP(C245,Products!$A$2:$H$16,4,FALSE)</f>
        <v>Hard Cover</v>
      </c>
      <c r="I245">
        <f>VLOOKUP(C245,Products!$A$2:$H$16,5,FALSE)</f>
        <v>1921</v>
      </c>
      <c r="J245" s="29">
        <f>VLOOKUP(C245,Products!$A$2:$H$16,6,FALSE)</f>
        <v>250</v>
      </c>
      <c r="K245" s="32">
        <f>VLOOKUP(C245,Products!$A$2:$H$16,7,FALSE)</f>
        <v>0.15</v>
      </c>
      <c r="L245" s="29">
        <f>VLOOKUP(C245,Products!$A$2:$H$16,8,FALSE)</f>
        <v>287.5</v>
      </c>
      <c r="M245" s="41">
        <f t="shared" si="9"/>
        <v>6</v>
      </c>
      <c r="N245" s="43">
        <f t="shared" si="10"/>
        <v>2875</v>
      </c>
      <c r="O245" s="43">
        <f t="shared" si="11"/>
        <v>2500</v>
      </c>
    </row>
    <row r="246" spans="1:15" x14ac:dyDescent="0.25">
      <c r="A246" s="31">
        <v>41430</v>
      </c>
      <c r="B246" t="s">
        <v>39</v>
      </c>
      <c r="C246" s="30">
        <v>10</v>
      </c>
      <c r="D246" s="30" t="s">
        <v>38</v>
      </c>
      <c r="E246" s="30">
        <v>9</v>
      </c>
      <c r="F246" t="str">
        <f>VLOOKUP(C246,Products!$A$2:$H$16,2,FALSE)</f>
        <v>Wings of Fire</v>
      </c>
      <c r="G246" t="str">
        <f>VLOOKUP(C246,Products!$A$2:$H$16,3,FALSE)</f>
        <v>APJ Abdul Kalam,
Arun Tiwari</v>
      </c>
      <c r="H246" t="str">
        <f>VLOOKUP(C246,Products!$A$2:$H$16,4,FALSE)</f>
        <v>Soft Cover</v>
      </c>
      <c r="I246">
        <f>VLOOKUP(C246,Products!$A$2:$H$16,5,FALSE)</f>
        <v>1999</v>
      </c>
      <c r="J246" s="29">
        <f>VLOOKUP(C246,Products!$A$2:$H$16,6,FALSE)</f>
        <v>1200</v>
      </c>
      <c r="K246" s="32">
        <f>VLOOKUP(C246,Products!$A$2:$H$16,7,FALSE)</f>
        <v>0.1</v>
      </c>
      <c r="L246" s="29">
        <f>VLOOKUP(C246,Products!$A$2:$H$16,8,FALSE)</f>
        <v>1320</v>
      </c>
      <c r="M246" s="41">
        <f t="shared" si="9"/>
        <v>6</v>
      </c>
      <c r="N246" s="43">
        <f t="shared" si="10"/>
        <v>11880</v>
      </c>
      <c r="O246" s="43">
        <f t="shared" si="11"/>
        <v>10800</v>
      </c>
    </row>
    <row r="247" spans="1:15" x14ac:dyDescent="0.25">
      <c r="A247" s="31">
        <v>41430</v>
      </c>
      <c r="B247" t="s">
        <v>41</v>
      </c>
      <c r="C247" s="30">
        <v>9</v>
      </c>
      <c r="D247" s="30" t="s">
        <v>38</v>
      </c>
      <c r="E247" s="30">
        <v>9</v>
      </c>
      <c r="F247" t="str">
        <f>VLOOKUP(C247,Products!$A$2:$H$16,2,FALSE)</f>
        <v>A Guide to Health</v>
      </c>
      <c r="G247" t="str">
        <f>VLOOKUP(C247,Products!$A$2:$H$16,3,FALSE)</f>
        <v>Mahatma Gandhi</v>
      </c>
      <c r="H247" t="str">
        <f>VLOOKUP(C247,Products!$A$2:$H$16,4,FALSE)</f>
        <v>Soft Cover</v>
      </c>
      <c r="I247">
        <f>VLOOKUP(C247,Products!$A$2:$H$16,5,FALSE)</f>
        <v>1921</v>
      </c>
      <c r="J247" s="29">
        <f>VLOOKUP(C247,Products!$A$2:$H$16,6,FALSE)</f>
        <v>220</v>
      </c>
      <c r="K247" s="32">
        <f>VLOOKUP(C247,Products!$A$2:$H$16,7,FALSE)</f>
        <v>0.15</v>
      </c>
      <c r="L247" s="29">
        <f>VLOOKUP(C247,Products!$A$2:$H$16,8,FALSE)</f>
        <v>253</v>
      </c>
      <c r="M247" s="41">
        <f t="shared" si="9"/>
        <v>6</v>
      </c>
      <c r="N247" s="43">
        <f t="shared" si="10"/>
        <v>2277</v>
      </c>
      <c r="O247" s="43">
        <f t="shared" si="11"/>
        <v>1980</v>
      </c>
    </row>
    <row r="248" spans="1:15" x14ac:dyDescent="0.25">
      <c r="A248" s="31">
        <v>41431</v>
      </c>
      <c r="B248" t="s">
        <v>41</v>
      </c>
      <c r="C248" s="30">
        <v>11</v>
      </c>
      <c r="D248" s="30" t="s">
        <v>38</v>
      </c>
      <c r="E248" s="30">
        <v>20</v>
      </c>
      <c r="F248" t="str">
        <f>VLOOKUP(C248,Products!$A$2:$H$16,2,FALSE)</f>
        <v>The Discovery of India</v>
      </c>
      <c r="G248" t="str">
        <f>VLOOKUP(C248,Products!$A$2:$H$16,3,FALSE)</f>
        <v>Jawaharlal Nehru</v>
      </c>
      <c r="H248" t="str">
        <f>VLOOKUP(C248,Products!$A$2:$H$16,4,FALSE)</f>
        <v>e-book</v>
      </c>
      <c r="I248">
        <f>VLOOKUP(C248,Products!$A$2:$H$16,5,FALSE)</f>
        <v>2004</v>
      </c>
      <c r="J248" s="29">
        <f>VLOOKUP(C248,Products!$A$2:$H$16,6,FALSE)</f>
        <v>250</v>
      </c>
      <c r="K248" s="32">
        <f>VLOOKUP(C248,Products!$A$2:$H$16,7,FALSE)</f>
        <v>0.3</v>
      </c>
      <c r="L248" s="29">
        <f>VLOOKUP(C248,Products!$A$2:$H$16,8,FALSE)</f>
        <v>325</v>
      </c>
      <c r="M248" s="41">
        <f t="shared" si="9"/>
        <v>6</v>
      </c>
      <c r="N248" s="43">
        <f t="shared" si="10"/>
        <v>6500</v>
      </c>
      <c r="O248" s="43">
        <f t="shared" si="11"/>
        <v>5000</v>
      </c>
    </row>
    <row r="249" spans="1:15" x14ac:dyDescent="0.25">
      <c r="A249" s="31">
        <v>41432</v>
      </c>
      <c r="B249" t="s">
        <v>36</v>
      </c>
      <c r="C249" s="30">
        <v>3</v>
      </c>
      <c r="D249" s="30" t="s">
        <v>34</v>
      </c>
      <c r="E249" s="30">
        <v>1</v>
      </c>
      <c r="F249" t="str">
        <f>VLOOKUP(C249,Products!$A$2:$H$16,2,FALSE)</f>
        <v>Glimpses of World History</v>
      </c>
      <c r="G249" t="str">
        <f>VLOOKUP(C249,Products!$A$2:$H$16,3,FALSE)</f>
        <v>Jawaharlal Nehru</v>
      </c>
      <c r="H249" t="str">
        <f>VLOOKUP(C249,Products!$A$2:$H$16,4,FALSE)</f>
        <v>Hard Cover</v>
      </c>
      <c r="I249">
        <f>VLOOKUP(C249,Products!$A$2:$H$16,5,FALSE)</f>
        <v>1934</v>
      </c>
      <c r="J249" s="29">
        <f>VLOOKUP(C249,Products!$A$2:$H$16,6,FALSE)</f>
        <v>750.45899999999995</v>
      </c>
      <c r="K249" s="32">
        <f>VLOOKUP(C249,Products!$A$2:$H$16,7,FALSE)</f>
        <v>0.2</v>
      </c>
      <c r="L249" s="29">
        <f>VLOOKUP(C249,Products!$A$2:$H$16,8,FALSE)</f>
        <v>900.55079999999998</v>
      </c>
      <c r="M249" s="41">
        <f t="shared" si="9"/>
        <v>6</v>
      </c>
      <c r="N249" s="43">
        <f t="shared" si="10"/>
        <v>900.55079999999998</v>
      </c>
      <c r="O249" s="43">
        <f t="shared" si="11"/>
        <v>750.45899999999995</v>
      </c>
    </row>
    <row r="250" spans="1:15" x14ac:dyDescent="0.25">
      <c r="A250" s="31">
        <v>41433</v>
      </c>
      <c r="B250" t="s">
        <v>35</v>
      </c>
      <c r="C250" s="30">
        <v>1</v>
      </c>
      <c r="D250" s="30" t="s">
        <v>34</v>
      </c>
      <c r="E250" s="30">
        <v>13</v>
      </c>
      <c r="F250" t="str">
        <f>VLOOKUP(C250,Products!$A$2:$H$16,2,FALSE)</f>
        <v>The Discovery of India</v>
      </c>
      <c r="G250" t="str">
        <f>VLOOKUP(C250,Products!$A$2:$H$16,3,FALSE)</f>
        <v>Jawaharlal Nehru</v>
      </c>
      <c r="H250" t="str">
        <f>VLOOKUP(C250,Products!$A$2:$H$16,4,FALSE)</f>
        <v>Hard Cover</v>
      </c>
      <c r="I250">
        <f>VLOOKUP(C250,Products!$A$2:$H$16,5,FALSE)</f>
        <v>1946</v>
      </c>
      <c r="J250" s="29">
        <f>VLOOKUP(C250,Products!$A$2:$H$16,6,FALSE)</f>
        <v>599.95000000000005</v>
      </c>
      <c r="K250" s="32">
        <f>VLOOKUP(C250,Products!$A$2:$H$16,7,FALSE)</f>
        <v>0.3</v>
      </c>
      <c r="L250" s="29">
        <f>VLOOKUP(C250,Products!$A$2:$H$16,8,FALSE)</f>
        <v>779.93500000000006</v>
      </c>
      <c r="M250" s="41">
        <f t="shared" si="9"/>
        <v>6</v>
      </c>
      <c r="N250" s="43">
        <f t="shared" si="10"/>
        <v>10139.155000000001</v>
      </c>
      <c r="O250" s="43">
        <f t="shared" si="11"/>
        <v>7799.35</v>
      </c>
    </row>
    <row r="251" spans="1:15" x14ac:dyDescent="0.25">
      <c r="A251" s="31">
        <v>41434</v>
      </c>
      <c r="B251" t="s">
        <v>39</v>
      </c>
      <c r="C251" s="30">
        <v>2</v>
      </c>
      <c r="D251" s="30" t="s">
        <v>38</v>
      </c>
      <c r="E251" s="30">
        <v>3</v>
      </c>
      <c r="F251" t="str">
        <f>VLOOKUP(C251,Products!$A$2:$H$16,2,FALSE)</f>
        <v>The Story of my Experiments with Truth</v>
      </c>
      <c r="G251" t="str">
        <f>VLOOKUP(C251,Products!$A$2:$H$16,3,FALSE)</f>
        <v>Mahatma Gandhi</v>
      </c>
      <c r="H251" t="str">
        <f>VLOOKUP(C251,Products!$A$2:$H$16,4,FALSE)</f>
        <v>Hard Cover</v>
      </c>
      <c r="I251">
        <f>VLOOKUP(C251,Products!$A$2:$H$16,5,FALSE)</f>
        <v>1927</v>
      </c>
      <c r="J251" s="29">
        <f>VLOOKUP(C251,Products!$A$2:$H$16,6,FALSE)</f>
        <v>159</v>
      </c>
      <c r="K251" s="32">
        <f>VLOOKUP(C251,Products!$A$2:$H$16,7,FALSE)</f>
        <v>0.3</v>
      </c>
      <c r="L251" s="29">
        <f>VLOOKUP(C251,Products!$A$2:$H$16,8,FALSE)</f>
        <v>206.7</v>
      </c>
      <c r="M251" s="41">
        <f t="shared" si="9"/>
        <v>6</v>
      </c>
      <c r="N251" s="43">
        <f t="shared" si="10"/>
        <v>620.09999999999991</v>
      </c>
      <c r="O251" s="43">
        <f t="shared" si="11"/>
        <v>477</v>
      </c>
    </row>
    <row r="252" spans="1:15" x14ac:dyDescent="0.25">
      <c r="A252" s="31">
        <v>41434</v>
      </c>
      <c r="B252" t="s">
        <v>39</v>
      </c>
      <c r="C252" s="30">
        <v>5</v>
      </c>
      <c r="D252" s="30" t="s">
        <v>34</v>
      </c>
      <c r="E252" s="30">
        <v>6</v>
      </c>
      <c r="F252" t="str">
        <f>VLOOKUP(C252,Products!$A$2:$H$16,2,FALSE)</f>
        <v>Wings of Fire</v>
      </c>
      <c r="G252" t="str">
        <f>VLOOKUP(C252,Products!$A$2:$H$16,3,FALSE)</f>
        <v>APJ Abdul Kalam,
Arun Tiwari</v>
      </c>
      <c r="H252" t="str">
        <f>VLOOKUP(C252,Products!$A$2:$H$16,4,FALSE)</f>
        <v>Hard Cover</v>
      </c>
      <c r="I252">
        <f>VLOOKUP(C252,Products!$A$2:$H$16,5,FALSE)</f>
        <v>1999</v>
      </c>
      <c r="J252" s="29">
        <f>VLOOKUP(C252,Products!$A$2:$H$16,6,FALSE)</f>
        <v>1275.2488000000001</v>
      </c>
      <c r="K252" s="32">
        <f>VLOOKUP(C252,Products!$A$2:$H$16,7,FALSE)</f>
        <v>0.1</v>
      </c>
      <c r="L252" s="29">
        <f>VLOOKUP(C252,Products!$A$2:$H$16,8,FALSE)</f>
        <v>1402.77368</v>
      </c>
      <c r="M252" s="41">
        <f t="shared" si="9"/>
        <v>6</v>
      </c>
      <c r="N252" s="43">
        <f t="shared" si="10"/>
        <v>8416.6420799999996</v>
      </c>
      <c r="O252" s="43">
        <f t="shared" si="11"/>
        <v>7651.4928</v>
      </c>
    </row>
    <row r="253" spans="1:15" x14ac:dyDescent="0.25">
      <c r="A253" s="31">
        <v>41434</v>
      </c>
      <c r="B253" t="s">
        <v>35</v>
      </c>
      <c r="C253" s="30">
        <v>5</v>
      </c>
      <c r="D253" s="30" t="s">
        <v>34</v>
      </c>
      <c r="E253" s="30">
        <v>8</v>
      </c>
      <c r="F253" t="str">
        <f>VLOOKUP(C253,Products!$A$2:$H$16,2,FALSE)</f>
        <v>Wings of Fire</v>
      </c>
      <c r="G253" t="str">
        <f>VLOOKUP(C253,Products!$A$2:$H$16,3,FALSE)</f>
        <v>APJ Abdul Kalam,
Arun Tiwari</v>
      </c>
      <c r="H253" t="str">
        <f>VLOOKUP(C253,Products!$A$2:$H$16,4,FALSE)</f>
        <v>Hard Cover</v>
      </c>
      <c r="I253">
        <f>VLOOKUP(C253,Products!$A$2:$H$16,5,FALSE)</f>
        <v>1999</v>
      </c>
      <c r="J253" s="29">
        <f>VLOOKUP(C253,Products!$A$2:$H$16,6,FALSE)</f>
        <v>1275.2488000000001</v>
      </c>
      <c r="K253" s="32">
        <f>VLOOKUP(C253,Products!$A$2:$H$16,7,FALSE)</f>
        <v>0.1</v>
      </c>
      <c r="L253" s="29">
        <f>VLOOKUP(C253,Products!$A$2:$H$16,8,FALSE)</f>
        <v>1402.77368</v>
      </c>
      <c r="M253" s="41">
        <f t="shared" si="9"/>
        <v>6</v>
      </c>
      <c r="N253" s="43">
        <f t="shared" si="10"/>
        <v>11222.18944</v>
      </c>
      <c r="O253" s="43">
        <f t="shared" si="11"/>
        <v>10201.990400000001</v>
      </c>
    </row>
    <row r="254" spans="1:15" x14ac:dyDescent="0.25">
      <c r="A254" s="31">
        <v>41435</v>
      </c>
      <c r="B254" t="s">
        <v>41</v>
      </c>
      <c r="C254" s="30">
        <v>2</v>
      </c>
      <c r="D254" s="30" t="s">
        <v>38</v>
      </c>
      <c r="E254" s="30">
        <v>1</v>
      </c>
      <c r="F254" t="str">
        <f>VLOOKUP(C254,Products!$A$2:$H$16,2,FALSE)</f>
        <v>The Story of my Experiments with Truth</v>
      </c>
      <c r="G254" t="str">
        <f>VLOOKUP(C254,Products!$A$2:$H$16,3,FALSE)</f>
        <v>Mahatma Gandhi</v>
      </c>
      <c r="H254" t="str">
        <f>VLOOKUP(C254,Products!$A$2:$H$16,4,FALSE)</f>
        <v>Hard Cover</v>
      </c>
      <c r="I254">
        <f>VLOOKUP(C254,Products!$A$2:$H$16,5,FALSE)</f>
        <v>1927</v>
      </c>
      <c r="J254" s="29">
        <f>VLOOKUP(C254,Products!$A$2:$H$16,6,FALSE)</f>
        <v>159</v>
      </c>
      <c r="K254" s="32">
        <f>VLOOKUP(C254,Products!$A$2:$H$16,7,FALSE)</f>
        <v>0.3</v>
      </c>
      <c r="L254" s="29">
        <f>VLOOKUP(C254,Products!$A$2:$H$16,8,FALSE)</f>
        <v>206.7</v>
      </c>
      <c r="M254" s="41">
        <f t="shared" si="9"/>
        <v>6</v>
      </c>
      <c r="N254" s="43">
        <f t="shared" si="10"/>
        <v>206.7</v>
      </c>
      <c r="O254" s="43">
        <f t="shared" si="11"/>
        <v>159</v>
      </c>
    </row>
    <row r="255" spans="1:15" x14ac:dyDescent="0.25">
      <c r="A255" s="31">
        <v>41436</v>
      </c>
      <c r="B255" t="s">
        <v>37</v>
      </c>
      <c r="C255" s="30">
        <v>7</v>
      </c>
      <c r="D255" s="30" t="s">
        <v>38</v>
      </c>
      <c r="E255" s="30">
        <v>9</v>
      </c>
      <c r="F255" t="str">
        <f>VLOOKUP(C255,Products!$A$2:$H$16,2,FALSE)</f>
        <v>The Story of my Experiments with Truth</v>
      </c>
      <c r="G255" t="str">
        <f>VLOOKUP(C255,Products!$A$2:$H$16,3,FALSE)</f>
        <v>Mahatma Gandhi</v>
      </c>
      <c r="H255" t="str">
        <f>VLOOKUP(C255,Products!$A$2:$H$16,4,FALSE)</f>
        <v>Soft Cover</v>
      </c>
      <c r="I255">
        <f>VLOOKUP(C255,Products!$A$2:$H$16,5,FALSE)</f>
        <v>1927</v>
      </c>
      <c r="J255" s="29">
        <f>VLOOKUP(C255,Products!$A$2:$H$16,6,FALSE)</f>
        <v>109</v>
      </c>
      <c r="K255" s="32">
        <f>VLOOKUP(C255,Products!$A$2:$H$16,7,FALSE)</f>
        <v>0.3</v>
      </c>
      <c r="L255" s="29">
        <f>VLOOKUP(C255,Products!$A$2:$H$16,8,FALSE)</f>
        <v>141.69999999999999</v>
      </c>
      <c r="M255" s="41">
        <f t="shared" si="9"/>
        <v>6</v>
      </c>
      <c r="N255" s="43">
        <f t="shared" si="10"/>
        <v>1275.3</v>
      </c>
      <c r="O255" s="43">
        <f t="shared" si="11"/>
        <v>981</v>
      </c>
    </row>
    <row r="256" spans="1:15" x14ac:dyDescent="0.25">
      <c r="A256" s="31">
        <v>41436</v>
      </c>
      <c r="B256" t="s">
        <v>40</v>
      </c>
      <c r="C256" s="30">
        <v>2</v>
      </c>
      <c r="D256" s="30" t="s">
        <v>34</v>
      </c>
      <c r="E256" s="30">
        <v>10</v>
      </c>
      <c r="F256" t="str">
        <f>VLOOKUP(C256,Products!$A$2:$H$16,2,FALSE)</f>
        <v>The Story of my Experiments with Truth</v>
      </c>
      <c r="G256" t="str">
        <f>VLOOKUP(C256,Products!$A$2:$H$16,3,FALSE)</f>
        <v>Mahatma Gandhi</v>
      </c>
      <c r="H256" t="str">
        <f>VLOOKUP(C256,Products!$A$2:$H$16,4,FALSE)</f>
        <v>Hard Cover</v>
      </c>
      <c r="I256">
        <f>VLOOKUP(C256,Products!$A$2:$H$16,5,FALSE)</f>
        <v>1927</v>
      </c>
      <c r="J256" s="29">
        <f>VLOOKUP(C256,Products!$A$2:$H$16,6,FALSE)</f>
        <v>159</v>
      </c>
      <c r="K256" s="32">
        <f>VLOOKUP(C256,Products!$A$2:$H$16,7,FALSE)</f>
        <v>0.3</v>
      </c>
      <c r="L256" s="29">
        <f>VLOOKUP(C256,Products!$A$2:$H$16,8,FALSE)</f>
        <v>206.7</v>
      </c>
      <c r="M256" s="41">
        <f t="shared" si="9"/>
        <v>6</v>
      </c>
      <c r="N256" s="43">
        <f t="shared" si="10"/>
        <v>2067</v>
      </c>
      <c r="O256" s="43">
        <f t="shared" si="11"/>
        <v>1590</v>
      </c>
    </row>
    <row r="257" spans="1:15" x14ac:dyDescent="0.25">
      <c r="A257" s="31">
        <v>41437</v>
      </c>
      <c r="B257" t="s">
        <v>39</v>
      </c>
      <c r="C257" s="30">
        <v>12</v>
      </c>
      <c r="D257" s="30" t="s">
        <v>34</v>
      </c>
      <c r="E257" s="30">
        <v>16</v>
      </c>
      <c r="F257" t="str">
        <f>VLOOKUP(C257,Products!$A$2:$H$16,2,FALSE)</f>
        <v>The Story of my Experiments with Truth</v>
      </c>
      <c r="G257" t="str">
        <f>VLOOKUP(C257,Products!$A$2:$H$16,3,FALSE)</f>
        <v>Mahatma Gandhi</v>
      </c>
      <c r="H257" t="str">
        <f>VLOOKUP(C257,Products!$A$2:$H$16,4,FALSE)</f>
        <v>e-book</v>
      </c>
      <c r="I257">
        <f>VLOOKUP(C257,Products!$A$2:$H$16,5,FALSE)</f>
        <v>2004</v>
      </c>
      <c r="J257" s="29">
        <f>VLOOKUP(C257,Products!$A$2:$H$16,6,FALSE)</f>
        <v>50</v>
      </c>
      <c r="K257" s="32">
        <f>VLOOKUP(C257,Products!$A$2:$H$16,7,FALSE)</f>
        <v>0.3</v>
      </c>
      <c r="L257" s="29">
        <f>VLOOKUP(C257,Products!$A$2:$H$16,8,FALSE)</f>
        <v>65</v>
      </c>
      <c r="M257" s="41">
        <f t="shared" si="9"/>
        <v>6</v>
      </c>
      <c r="N257" s="43">
        <f t="shared" si="10"/>
        <v>1040</v>
      </c>
      <c r="O257" s="43">
        <f t="shared" si="11"/>
        <v>800</v>
      </c>
    </row>
    <row r="258" spans="1:15" x14ac:dyDescent="0.25">
      <c r="A258" s="31">
        <v>41438</v>
      </c>
      <c r="B258" t="s">
        <v>33</v>
      </c>
      <c r="C258" s="30">
        <v>13</v>
      </c>
      <c r="D258" s="30" t="s">
        <v>38</v>
      </c>
      <c r="E258" s="30">
        <v>19</v>
      </c>
      <c r="F258" t="str">
        <f>VLOOKUP(C258,Products!$A$2:$H$16,2,FALSE)</f>
        <v>Glimpses of World History</v>
      </c>
      <c r="G258" t="str">
        <f>VLOOKUP(C258,Products!$A$2:$H$16,3,FALSE)</f>
        <v>Jawaharlal Nehru</v>
      </c>
      <c r="H258" t="str">
        <f>VLOOKUP(C258,Products!$A$2:$H$16,4,FALSE)</f>
        <v>e-book</v>
      </c>
      <c r="I258">
        <f>VLOOKUP(C258,Products!$A$2:$H$16,5,FALSE)</f>
        <v>2005</v>
      </c>
      <c r="J258" s="29">
        <f>VLOOKUP(C258,Products!$A$2:$H$16,6,FALSE)</f>
        <v>300</v>
      </c>
      <c r="K258" s="32">
        <f>VLOOKUP(C258,Products!$A$2:$H$16,7,FALSE)</f>
        <v>0.2</v>
      </c>
      <c r="L258" s="29">
        <f>VLOOKUP(C258,Products!$A$2:$H$16,8,FALSE)</f>
        <v>360</v>
      </c>
      <c r="M258" s="41">
        <f t="shared" si="9"/>
        <v>6</v>
      </c>
      <c r="N258" s="43">
        <f t="shared" si="10"/>
        <v>6840</v>
      </c>
      <c r="O258" s="43">
        <f t="shared" si="11"/>
        <v>5700</v>
      </c>
    </row>
    <row r="259" spans="1:15" x14ac:dyDescent="0.25">
      <c r="A259" s="31">
        <v>41438</v>
      </c>
      <c r="B259" t="s">
        <v>41</v>
      </c>
      <c r="C259" s="30">
        <v>8</v>
      </c>
      <c r="D259" s="30" t="s">
        <v>34</v>
      </c>
      <c r="E259" s="30">
        <v>15</v>
      </c>
      <c r="F259" t="str">
        <f>VLOOKUP(C259,Products!$A$2:$H$16,2,FALSE)</f>
        <v>Glimpses of World History</v>
      </c>
      <c r="G259" t="str">
        <f>VLOOKUP(C259,Products!$A$2:$H$16,3,FALSE)</f>
        <v>Jawaharlal Nehru</v>
      </c>
      <c r="H259" t="str">
        <f>VLOOKUP(C259,Products!$A$2:$H$16,4,FALSE)</f>
        <v>Soft Cover</v>
      </c>
      <c r="I259">
        <f>VLOOKUP(C259,Products!$A$2:$H$16,5,FALSE)</f>
        <v>1934</v>
      </c>
      <c r="J259" s="29">
        <f>VLOOKUP(C259,Products!$A$2:$H$16,6,FALSE)</f>
        <v>650</v>
      </c>
      <c r="K259" s="32">
        <f>VLOOKUP(C259,Products!$A$2:$H$16,7,FALSE)</f>
        <v>0.2</v>
      </c>
      <c r="L259" s="29">
        <f>VLOOKUP(C259,Products!$A$2:$H$16,8,FALSE)</f>
        <v>780</v>
      </c>
      <c r="M259" s="41">
        <f t="shared" ref="M259:M322" si="12">MONTH(A259)</f>
        <v>6</v>
      </c>
      <c r="N259" s="43">
        <f t="shared" ref="N259:N322" si="13">L259*E259</f>
        <v>11700</v>
      </c>
      <c r="O259" s="43">
        <f t="shared" ref="O259:O322" si="14">J259*E259</f>
        <v>9750</v>
      </c>
    </row>
    <row r="260" spans="1:15" x14ac:dyDescent="0.25">
      <c r="A260" s="31">
        <v>41438</v>
      </c>
      <c r="B260" t="s">
        <v>37</v>
      </c>
      <c r="C260" s="30">
        <v>5</v>
      </c>
      <c r="D260" s="30" t="s">
        <v>34</v>
      </c>
      <c r="E260" s="30">
        <v>2</v>
      </c>
      <c r="F260" t="str">
        <f>VLOOKUP(C260,Products!$A$2:$H$16,2,FALSE)</f>
        <v>Wings of Fire</v>
      </c>
      <c r="G260" t="str">
        <f>VLOOKUP(C260,Products!$A$2:$H$16,3,FALSE)</f>
        <v>APJ Abdul Kalam,
Arun Tiwari</v>
      </c>
      <c r="H260" t="str">
        <f>VLOOKUP(C260,Products!$A$2:$H$16,4,FALSE)</f>
        <v>Hard Cover</v>
      </c>
      <c r="I260">
        <f>VLOOKUP(C260,Products!$A$2:$H$16,5,FALSE)</f>
        <v>1999</v>
      </c>
      <c r="J260" s="29">
        <f>VLOOKUP(C260,Products!$A$2:$H$16,6,FALSE)</f>
        <v>1275.2488000000001</v>
      </c>
      <c r="K260" s="32">
        <f>VLOOKUP(C260,Products!$A$2:$H$16,7,FALSE)</f>
        <v>0.1</v>
      </c>
      <c r="L260" s="29">
        <f>VLOOKUP(C260,Products!$A$2:$H$16,8,FALSE)</f>
        <v>1402.77368</v>
      </c>
      <c r="M260" s="41">
        <f t="shared" si="12"/>
        <v>6</v>
      </c>
      <c r="N260" s="43">
        <f t="shared" si="13"/>
        <v>2805.54736</v>
      </c>
      <c r="O260" s="43">
        <f t="shared" si="14"/>
        <v>2550.4976000000001</v>
      </c>
    </row>
    <row r="261" spans="1:15" x14ac:dyDescent="0.25">
      <c r="A261" s="31">
        <v>41439</v>
      </c>
      <c r="B261" t="s">
        <v>39</v>
      </c>
      <c r="C261" s="30">
        <v>3</v>
      </c>
      <c r="D261" s="30" t="s">
        <v>38</v>
      </c>
      <c r="E261" s="30">
        <v>18</v>
      </c>
      <c r="F261" t="str">
        <f>VLOOKUP(C261,Products!$A$2:$H$16,2,FALSE)</f>
        <v>Glimpses of World History</v>
      </c>
      <c r="G261" t="str">
        <f>VLOOKUP(C261,Products!$A$2:$H$16,3,FALSE)</f>
        <v>Jawaharlal Nehru</v>
      </c>
      <c r="H261" t="str">
        <f>VLOOKUP(C261,Products!$A$2:$H$16,4,FALSE)</f>
        <v>Hard Cover</v>
      </c>
      <c r="I261">
        <f>VLOOKUP(C261,Products!$A$2:$H$16,5,FALSE)</f>
        <v>1934</v>
      </c>
      <c r="J261" s="29">
        <f>VLOOKUP(C261,Products!$A$2:$H$16,6,FALSE)</f>
        <v>750.45899999999995</v>
      </c>
      <c r="K261" s="32">
        <f>VLOOKUP(C261,Products!$A$2:$H$16,7,FALSE)</f>
        <v>0.2</v>
      </c>
      <c r="L261" s="29">
        <f>VLOOKUP(C261,Products!$A$2:$H$16,8,FALSE)</f>
        <v>900.55079999999998</v>
      </c>
      <c r="M261" s="41">
        <f t="shared" si="12"/>
        <v>6</v>
      </c>
      <c r="N261" s="43">
        <f t="shared" si="13"/>
        <v>16209.9144</v>
      </c>
      <c r="O261" s="43">
        <f t="shared" si="14"/>
        <v>13508.261999999999</v>
      </c>
    </row>
    <row r="262" spans="1:15" x14ac:dyDescent="0.25">
      <c r="A262" s="31">
        <v>41439</v>
      </c>
      <c r="B262" t="s">
        <v>37</v>
      </c>
      <c r="C262" s="30">
        <v>13</v>
      </c>
      <c r="D262" s="30" t="s">
        <v>34</v>
      </c>
      <c r="E262" s="30">
        <v>4</v>
      </c>
      <c r="F262" t="str">
        <f>VLOOKUP(C262,Products!$A$2:$H$16,2,FALSE)</f>
        <v>Glimpses of World History</v>
      </c>
      <c r="G262" t="str">
        <f>VLOOKUP(C262,Products!$A$2:$H$16,3,FALSE)</f>
        <v>Jawaharlal Nehru</v>
      </c>
      <c r="H262" t="str">
        <f>VLOOKUP(C262,Products!$A$2:$H$16,4,FALSE)</f>
        <v>e-book</v>
      </c>
      <c r="I262">
        <f>VLOOKUP(C262,Products!$A$2:$H$16,5,FALSE)</f>
        <v>2005</v>
      </c>
      <c r="J262" s="29">
        <f>VLOOKUP(C262,Products!$A$2:$H$16,6,FALSE)</f>
        <v>300</v>
      </c>
      <c r="K262" s="32">
        <f>VLOOKUP(C262,Products!$A$2:$H$16,7,FALSE)</f>
        <v>0.2</v>
      </c>
      <c r="L262" s="29">
        <f>VLOOKUP(C262,Products!$A$2:$H$16,8,FALSE)</f>
        <v>360</v>
      </c>
      <c r="M262" s="41">
        <f t="shared" si="12"/>
        <v>6</v>
      </c>
      <c r="N262" s="43">
        <f t="shared" si="13"/>
        <v>1440</v>
      </c>
      <c r="O262" s="43">
        <f t="shared" si="14"/>
        <v>1200</v>
      </c>
    </row>
    <row r="263" spans="1:15" x14ac:dyDescent="0.25">
      <c r="A263" s="31">
        <v>41439</v>
      </c>
      <c r="B263" t="s">
        <v>39</v>
      </c>
      <c r="C263" s="30">
        <v>12</v>
      </c>
      <c r="D263" s="30" t="s">
        <v>34</v>
      </c>
      <c r="E263" s="30">
        <v>19</v>
      </c>
      <c r="F263" t="str">
        <f>VLOOKUP(C263,Products!$A$2:$H$16,2,FALSE)</f>
        <v>The Story of my Experiments with Truth</v>
      </c>
      <c r="G263" t="str">
        <f>VLOOKUP(C263,Products!$A$2:$H$16,3,FALSE)</f>
        <v>Mahatma Gandhi</v>
      </c>
      <c r="H263" t="str">
        <f>VLOOKUP(C263,Products!$A$2:$H$16,4,FALSE)</f>
        <v>e-book</v>
      </c>
      <c r="I263">
        <f>VLOOKUP(C263,Products!$A$2:$H$16,5,FALSE)</f>
        <v>2004</v>
      </c>
      <c r="J263" s="29">
        <f>VLOOKUP(C263,Products!$A$2:$H$16,6,FALSE)</f>
        <v>50</v>
      </c>
      <c r="K263" s="32">
        <f>VLOOKUP(C263,Products!$A$2:$H$16,7,FALSE)</f>
        <v>0.3</v>
      </c>
      <c r="L263" s="29">
        <f>VLOOKUP(C263,Products!$A$2:$H$16,8,FALSE)</f>
        <v>65</v>
      </c>
      <c r="M263" s="41">
        <f t="shared" si="12"/>
        <v>6</v>
      </c>
      <c r="N263" s="43">
        <f t="shared" si="13"/>
        <v>1235</v>
      </c>
      <c r="O263" s="43">
        <f t="shared" si="14"/>
        <v>950</v>
      </c>
    </row>
    <row r="264" spans="1:15" x14ac:dyDescent="0.25">
      <c r="A264" s="31">
        <v>41440</v>
      </c>
      <c r="B264" t="s">
        <v>42</v>
      </c>
      <c r="C264" s="30">
        <v>8</v>
      </c>
      <c r="D264" s="30" t="s">
        <v>34</v>
      </c>
      <c r="E264" s="30">
        <v>17</v>
      </c>
      <c r="F264" t="str">
        <f>VLOOKUP(C264,Products!$A$2:$H$16,2,FALSE)</f>
        <v>Glimpses of World History</v>
      </c>
      <c r="G264" t="str">
        <f>VLOOKUP(C264,Products!$A$2:$H$16,3,FALSE)</f>
        <v>Jawaharlal Nehru</v>
      </c>
      <c r="H264" t="str">
        <f>VLOOKUP(C264,Products!$A$2:$H$16,4,FALSE)</f>
        <v>Soft Cover</v>
      </c>
      <c r="I264">
        <f>VLOOKUP(C264,Products!$A$2:$H$16,5,FALSE)</f>
        <v>1934</v>
      </c>
      <c r="J264" s="29">
        <f>VLOOKUP(C264,Products!$A$2:$H$16,6,FALSE)</f>
        <v>650</v>
      </c>
      <c r="K264" s="32">
        <f>VLOOKUP(C264,Products!$A$2:$H$16,7,FALSE)</f>
        <v>0.2</v>
      </c>
      <c r="L264" s="29">
        <f>VLOOKUP(C264,Products!$A$2:$H$16,8,FALSE)</f>
        <v>780</v>
      </c>
      <c r="M264" s="41">
        <f t="shared" si="12"/>
        <v>6</v>
      </c>
      <c r="N264" s="43">
        <f t="shared" si="13"/>
        <v>13260</v>
      </c>
      <c r="O264" s="43">
        <f t="shared" si="14"/>
        <v>11050</v>
      </c>
    </row>
    <row r="265" spans="1:15" x14ac:dyDescent="0.25">
      <c r="A265" s="31">
        <v>41440</v>
      </c>
      <c r="B265" t="s">
        <v>37</v>
      </c>
      <c r="C265" s="30">
        <v>9</v>
      </c>
      <c r="D265" s="30" t="s">
        <v>38</v>
      </c>
      <c r="E265" s="30">
        <v>11</v>
      </c>
      <c r="F265" t="str">
        <f>VLOOKUP(C265,Products!$A$2:$H$16,2,FALSE)</f>
        <v>A Guide to Health</v>
      </c>
      <c r="G265" t="str">
        <f>VLOOKUP(C265,Products!$A$2:$H$16,3,FALSE)</f>
        <v>Mahatma Gandhi</v>
      </c>
      <c r="H265" t="str">
        <f>VLOOKUP(C265,Products!$A$2:$H$16,4,FALSE)</f>
        <v>Soft Cover</v>
      </c>
      <c r="I265">
        <f>VLOOKUP(C265,Products!$A$2:$H$16,5,FALSE)</f>
        <v>1921</v>
      </c>
      <c r="J265" s="29">
        <f>VLOOKUP(C265,Products!$A$2:$H$16,6,FALSE)</f>
        <v>220</v>
      </c>
      <c r="K265" s="32">
        <f>VLOOKUP(C265,Products!$A$2:$H$16,7,FALSE)</f>
        <v>0.15</v>
      </c>
      <c r="L265" s="29">
        <f>VLOOKUP(C265,Products!$A$2:$H$16,8,FALSE)</f>
        <v>253</v>
      </c>
      <c r="M265" s="41">
        <f t="shared" si="12"/>
        <v>6</v>
      </c>
      <c r="N265" s="43">
        <f t="shared" si="13"/>
        <v>2783</v>
      </c>
      <c r="O265" s="43">
        <f t="shared" si="14"/>
        <v>2420</v>
      </c>
    </row>
    <row r="266" spans="1:15" x14ac:dyDescent="0.25">
      <c r="A266" s="31">
        <v>41442</v>
      </c>
      <c r="B266" t="s">
        <v>39</v>
      </c>
      <c r="C266" s="30">
        <v>3</v>
      </c>
      <c r="D266" s="30" t="s">
        <v>38</v>
      </c>
      <c r="E266" s="30">
        <v>17</v>
      </c>
      <c r="F266" t="str">
        <f>VLOOKUP(C266,Products!$A$2:$H$16,2,FALSE)</f>
        <v>Glimpses of World History</v>
      </c>
      <c r="G266" t="str">
        <f>VLOOKUP(C266,Products!$A$2:$H$16,3,FALSE)</f>
        <v>Jawaharlal Nehru</v>
      </c>
      <c r="H266" t="str">
        <f>VLOOKUP(C266,Products!$A$2:$H$16,4,FALSE)</f>
        <v>Hard Cover</v>
      </c>
      <c r="I266">
        <f>VLOOKUP(C266,Products!$A$2:$H$16,5,FALSE)</f>
        <v>1934</v>
      </c>
      <c r="J266" s="29">
        <f>VLOOKUP(C266,Products!$A$2:$H$16,6,FALSE)</f>
        <v>750.45899999999995</v>
      </c>
      <c r="K266" s="32">
        <f>VLOOKUP(C266,Products!$A$2:$H$16,7,FALSE)</f>
        <v>0.2</v>
      </c>
      <c r="L266" s="29">
        <f>VLOOKUP(C266,Products!$A$2:$H$16,8,FALSE)</f>
        <v>900.55079999999998</v>
      </c>
      <c r="M266" s="41">
        <f t="shared" si="12"/>
        <v>6</v>
      </c>
      <c r="N266" s="43">
        <f t="shared" si="13"/>
        <v>15309.363600000001</v>
      </c>
      <c r="O266" s="43">
        <f t="shared" si="14"/>
        <v>12757.803</v>
      </c>
    </row>
    <row r="267" spans="1:15" x14ac:dyDescent="0.25">
      <c r="A267" s="31">
        <v>41442</v>
      </c>
      <c r="B267" t="s">
        <v>37</v>
      </c>
      <c r="C267" s="30">
        <v>11</v>
      </c>
      <c r="D267" s="30" t="s">
        <v>34</v>
      </c>
      <c r="E267" s="30">
        <v>2</v>
      </c>
      <c r="F267" t="str">
        <f>VLOOKUP(C267,Products!$A$2:$H$16,2,FALSE)</f>
        <v>The Discovery of India</v>
      </c>
      <c r="G267" t="str">
        <f>VLOOKUP(C267,Products!$A$2:$H$16,3,FALSE)</f>
        <v>Jawaharlal Nehru</v>
      </c>
      <c r="H267" t="str">
        <f>VLOOKUP(C267,Products!$A$2:$H$16,4,FALSE)</f>
        <v>e-book</v>
      </c>
      <c r="I267">
        <f>VLOOKUP(C267,Products!$A$2:$H$16,5,FALSE)</f>
        <v>2004</v>
      </c>
      <c r="J267" s="29">
        <f>VLOOKUP(C267,Products!$A$2:$H$16,6,FALSE)</f>
        <v>250</v>
      </c>
      <c r="K267" s="32">
        <f>VLOOKUP(C267,Products!$A$2:$H$16,7,FALSE)</f>
        <v>0.3</v>
      </c>
      <c r="L267" s="29">
        <f>VLOOKUP(C267,Products!$A$2:$H$16,8,FALSE)</f>
        <v>325</v>
      </c>
      <c r="M267" s="41">
        <f t="shared" si="12"/>
        <v>6</v>
      </c>
      <c r="N267" s="43">
        <f t="shared" si="13"/>
        <v>650</v>
      </c>
      <c r="O267" s="43">
        <f t="shared" si="14"/>
        <v>500</v>
      </c>
    </row>
    <row r="268" spans="1:15" x14ac:dyDescent="0.25">
      <c r="A268" s="31">
        <v>41444</v>
      </c>
      <c r="B268" t="s">
        <v>37</v>
      </c>
      <c r="C268" s="30">
        <v>10</v>
      </c>
      <c r="D268" s="30" t="s">
        <v>38</v>
      </c>
      <c r="E268" s="30">
        <v>17</v>
      </c>
      <c r="F268" t="str">
        <f>VLOOKUP(C268,Products!$A$2:$H$16,2,FALSE)</f>
        <v>Wings of Fire</v>
      </c>
      <c r="G268" t="str">
        <f>VLOOKUP(C268,Products!$A$2:$H$16,3,FALSE)</f>
        <v>APJ Abdul Kalam,
Arun Tiwari</v>
      </c>
      <c r="H268" t="str">
        <f>VLOOKUP(C268,Products!$A$2:$H$16,4,FALSE)</f>
        <v>Soft Cover</v>
      </c>
      <c r="I268">
        <f>VLOOKUP(C268,Products!$A$2:$H$16,5,FALSE)</f>
        <v>1999</v>
      </c>
      <c r="J268" s="29">
        <f>VLOOKUP(C268,Products!$A$2:$H$16,6,FALSE)</f>
        <v>1200</v>
      </c>
      <c r="K268" s="32">
        <f>VLOOKUP(C268,Products!$A$2:$H$16,7,FALSE)</f>
        <v>0.1</v>
      </c>
      <c r="L268" s="29">
        <f>VLOOKUP(C268,Products!$A$2:$H$16,8,FALSE)</f>
        <v>1320</v>
      </c>
      <c r="M268" s="41">
        <f t="shared" si="12"/>
        <v>6</v>
      </c>
      <c r="N268" s="43">
        <f t="shared" si="13"/>
        <v>22440</v>
      </c>
      <c r="O268" s="43">
        <f t="shared" si="14"/>
        <v>20400</v>
      </c>
    </row>
    <row r="269" spans="1:15" x14ac:dyDescent="0.25">
      <c r="A269" s="31">
        <v>41444</v>
      </c>
      <c r="B269" t="s">
        <v>39</v>
      </c>
      <c r="C269" s="30">
        <v>4</v>
      </c>
      <c r="D269" s="30" t="s">
        <v>38</v>
      </c>
      <c r="E269" s="30">
        <v>1</v>
      </c>
      <c r="F269" t="str">
        <f>VLOOKUP(C269,Products!$A$2:$H$16,2,FALSE)</f>
        <v>A Guide to Health</v>
      </c>
      <c r="G269" t="str">
        <f>VLOOKUP(C269,Products!$A$2:$H$16,3,FALSE)</f>
        <v>Mahatma Gandhi</v>
      </c>
      <c r="H269" t="str">
        <f>VLOOKUP(C269,Products!$A$2:$H$16,4,FALSE)</f>
        <v>Hard Cover</v>
      </c>
      <c r="I269">
        <f>VLOOKUP(C269,Products!$A$2:$H$16,5,FALSE)</f>
        <v>1921</v>
      </c>
      <c r="J269" s="29">
        <f>VLOOKUP(C269,Products!$A$2:$H$16,6,FALSE)</f>
        <v>250</v>
      </c>
      <c r="K269" s="32">
        <f>VLOOKUP(C269,Products!$A$2:$H$16,7,FALSE)</f>
        <v>0.15</v>
      </c>
      <c r="L269" s="29">
        <f>VLOOKUP(C269,Products!$A$2:$H$16,8,FALSE)</f>
        <v>287.5</v>
      </c>
      <c r="M269" s="41">
        <f t="shared" si="12"/>
        <v>6</v>
      </c>
      <c r="N269" s="43">
        <f t="shared" si="13"/>
        <v>287.5</v>
      </c>
      <c r="O269" s="43">
        <f t="shared" si="14"/>
        <v>250</v>
      </c>
    </row>
    <row r="270" spans="1:15" x14ac:dyDescent="0.25">
      <c r="A270" s="31">
        <v>41446</v>
      </c>
      <c r="B270" t="s">
        <v>37</v>
      </c>
      <c r="C270" s="30">
        <v>11</v>
      </c>
      <c r="D270" s="30" t="s">
        <v>38</v>
      </c>
      <c r="E270" s="30">
        <v>15</v>
      </c>
      <c r="F270" t="str">
        <f>VLOOKUP(C270,Products!$A$2:$H$16,2,FALSE)</f>
        <v>The Discovery of India</v>
      </c>
      <c r="G270" t="str">
        <f>VLOOKUP(C270,Products!$A$2:$H$16,3,FALSE)</f>
        <v>Jawaharlal Nehru</v>
      </c>
      <c r="H270" t="str">
        <f>VLOOKUP(C270,Products!$A$2:$H$16,4,FALSE)</f>
        <v>e-book</v>
      </c>
      <c r="I270">
        <f>VLOOKUP(C270,Products!$A$2:$H$16,5,FALSE)</f>
        <v>2004</v>
      </c>
      <c r="J270" s="29">
        <f>VLOOKUP(C270,Products!$A$2:$H$16,6,FALSE)</f>
        <v>250</v>
      </c>
      <c r="K270" s="32">
        <f>VLOOKUP(C270,Products!$A$2:$H$16,7,FALSE)</f>
        <v>0.3</v>
      </c>
      <c r="L270" s="29">
        <f>VLOOKUP(C270,Products!$A$2:$H$16,8,FALSE)</f>
        <v>325</v>
      </c>
      <c r="M270" s="41">
        <f t="shared" si="12"/>
        <v>6</v>
      </c>
      <c r="N270" s="43">
        <f t="shared" si="13"/>
        <v>4875</v>
      </c>
      <c r="O270" s="43">
        <f t="shared" si="14"/>
        <v>3750</v>
      </c>
    </row>
    <row r="271" spans="1:15" x14ac:dyDescent="0.25">
      <c r="A271" s="31">
        <v>41446</v>
      </c>
      <c r="B271" t="s">
        <v>36</v>
      </c>
      <c r="C271" s="30">
        <v>7</v>
      </c>
      <c r="D271" s="30" t="s">
        <v>38</v>
      </c>
      <c r="E271" s="30">
        <v>6</v>
      </c>
      <c r="F271" t="str">
        <f>VLOOKUP(C271,Products!$A$2:$H$16,2,FALSE)</f>
        <v>The Story of my Experiments with Truth</v>
      </c>
      <c r="G271" t="str">
        <f>VLOOKUP(C271,Products!$A$2:$H$16,3,FALSE)</f>
        <v>Mahatma Gandhi</v>
      </c>
      <c r="H271" t="str">
        <f>VLOOKUP(C271,Products!$A$2:$H$16,4,FALSE)</f>
        <v>Soft Cover</v>
      </c>
      <c r="I271">
        <f>VLOOKUP(C271,Products!$A$2:$H$16,5,FALSE)</f>
        <v>1927</v>
      </c>
      <c r="J271" s="29">
        <f>VLOOKUP(C271,Products!$A$2:$H$16,6,FALSE)</f>
        <v>109</v>
      </c>
      <c r="K271" s="32">
        <f>VLOOKUP(C271,Products!$A$2:$H$16,7,FALSE)</f>
        <v>0.3</v>
      </c>
      <c r="L271" s="29">
        <f>VLOOKUP(C271,Products!$A$2:$H$16,8,FALSE)</f>
        <v>141.69999999999999</v>
      </c>
      <c r="M271" s="41">
        <f t="shared" si="12"/>
        <v>6</v>
      </c>
      <c r="N271" s="43">
        <f t="shared" si="13"/>
        <v>850.19999999999993</v>
      </c>
      <c r="O271" s="43">
        <f t="shared" si="14"/>
        <v>654</v>
      </c>
    </row>
    <row r="272" spans="1:15" x14ac:dyDescent="0.25">
      <c r="A272" s="31">
        <v>41446</v>
      </c>
      <c r="B272" t="s">
        <v>36</v>
      </c>
      <c r="C272" s="30">
        <v>15</v>
      </c>
      <c r="D272" s="30" t="s">
        <v>34</v>
      </c>
      <c r="E272" s="30">
        <v>16</v>
      </c>
      <c r="F272" t="str">
        <f>VLOOKUP(C272,Products!$A$2:$H$16,2,FALSE)</f>
        <v>Wings of Fire</v>
      </c>
      <c r="G272" t="str">
        <f>VLOOKUP(C272,Products!$A$2:$H$16,3,FALSE)</f>
        <v>APJ Abdul Kalam,
Arun Tiwari</v>
      </c>
      <c r="H272" t="str">
        <f>VLOOKUP(C272,Products!$A$2:$H$16,4,FALSE)</f>
        <v>e-book</v>
      </c>
      <c r="I272">
        <f>VLOOKUP(C272,Products!$A$2:$H$16,5,FALSE)</f>
        <v>2005</v>
      </c>
      <c r="J272" s="29">
        <f>VLOOKUP(C272,Products!$A$2:$H$16,6,FALSE)</f>
        <v>500</v>
      </c>
      <c r="K272" s="32">
        <f>VLOOKUP(C272,Products!$A$2:$H$16,7,FALSE)</f>
        <v>0.1</v>
      </c>
      <c r="L272" s="29">
        <f>VLOOKUP(C272,Products!$A$2:$H$16,8,FALSE)</f>
        <v>550</v>
      </c>
      <c r="M272" s="41">
        <f t="shared" si="12"/>
        <v>6</v>
      </c>
      <c r="N272" s="43">
        <f t="shared" si="13"/>
        <v>8800</v>
      </c>
      <c r="O272" s="43">
        <f t="shared" si="14"/>
        <v>8000</v>
      </c>
    </row>
    <row r="273" spans="1:15" x14ac:dyDescent="0.25">
      <c r="A273" s="31">
        <v>41446</v>
      </c>
      <c r="B273" t="s">
        <v>36</v>
      </c>
      <c r="C273" s="30">
        <v>5</v>
      </c>
      <c r="D273" s="30" t="s">
        <v>38</v>
      </c>
      <c r="E273" s="30">
        <v>18</v>
      </c>
      <c r="F273" t="str">
        <f>VLOOKUP(C273,Products!$A$2:$H$16,2,FALSE)</f>
        <v>Wings of Fire</v>
      </c>
      <c r="G273" t="str">
        <f>VLOOKUP(C273,Products!$A$2:$H$16,3,FALSE)</f>
        <v>APJ Abdul Kalam,
Arun Tiwari</v>
      </c>
      <c r="H273" t="str">
        <f>VLOOKUP(C273,Products!$A$2:$H$16,4,FALSE)</f>
        <v>Hard Cover</v>
      </c>
      <c r="I273">
        <f>VLOOKUP(C273,Products!$A$2:$H$16,5,FALSE)</f>
        <v>1999</v>
      </c>
      <c r="J273" s="29">
        <f>VLOOKUP(C273,Products!$A$2:$H$16,6,FALSE)</f>
        <v>1275.2488000000001</v>
      </c>
      <c r="K273" s="32">
        <f>VLOOKUP(C273,Products!$A$2:$H$16,7,FALSE)</f>
        <v>0.1</v>
      </c>
      <c r="L273" s="29">
        <f>VLOOKUP(C273,Products!$A$2:$H$16,8,FALSE)</f>
        <v>1402.77368</v>
      </c>
      <c r="M273" s="41">
        <f t="shared" si="12"/>
        <v>6</v>
      </c>
      <c r="N273" s="43">
        <f t="shared" si="13"/>
        <v>25249.926240000001</v>
      </c>
      <c r="O273" s="43">
        <f t="shared" si="14"/>
        <v>22954.4784</v>
      </c>
    </row>
    <row r="274" spans="1:15" x14ac:dyDescent="0.25">
      <c r="A274" s="31">
        <v>41447</v>
      </c>
      <c r="B274" t="s">
        <v>37</v>
      </c>
      <c r="C274" s="30">
        <v>10</v>
      </c>
      <c r="D274" s="30" t="s">
        <v>34</v>
      </c>
      <c r="E274" s="30">
        <v>10</v>
      </c>
      <c r="F274" t="str">
        <f>VLOOKUP(C274,Products!$A$2:$H$16,2,FALSE)</f>
        <v>Wings of Fire</v>
      </c>
      <c r="G274" t="str">
        <f>VLOOKUP(C274,Products!$A$2:$H$16,3,FALSE)</f>
        <v>APJ Abdul Kalam,
Arun Tiwari</v>
      </c>
      <c r="H274" t="str">
        <f>VLOOKUP(C274,Products!$A$2:$H$16,4,FALSE)</f>
        <v>Soft Cover</v>
      </c>
      <c r="I274">
        <f>VLOOKUP(C274,Products!$A$2:$H$16,5,FALSE)</f>
        <v>1999</v>
      </c>
      <c r="J274" s="29">
        <f>VLOOKUP(C274,Products!$A$2:$H$16,6,FALSE)</f>
        <v>1200</v>
      </c>
      <c r="K274" s="32">
        <f>VLOOKUP(C274,Products!$A$2:$H$16,7,FALSE)</f>
        <v>0.1</v>
      </c>
      <c r="L274" s="29">
        <f>VLOOKUP(C274,Products!$A$2:$H$16,8,FALSE)</f>
        <v>1320</v>
      </c>
      <c r="M274" s="41">
        <f t="shared" si="12"/>
        <v>6</v>
      </c>
      <c r="N274" s="43">
        <f t="shared" si="13"/>
        <v>13200</v>
      </c>
      <c r="O274" s="43">
        <f t="shared" si="14"/>
        <v>12000</v>
      </c>
    </row>
    <row r="275" spans="1:15" x14ac:dyDescent="0.25">
      <c r="A275" s="31">
        <v>41448</v>
      </c>
      <c r="B275" t="s">
        <v>36</v>
      </c>
      <c r="C275" s="30">
        <v>7</v>
      </c>
      <c r="D275" s="30" t="s">
        <v>34</v>
      </c>
      <c r="E275" s="30">
        <v>15</v>
      </c>
      <c r="F275" t="str">
        <f>VLOOKUP(C275,Products!$A$2:$H$16,2,FALSE)</f>
        <v>The Story of my Experiments with Truth</v>
      </c>
      <c r="G275" t="str">
        <f>VLOOKUP(C275,Products!$A$2:$H$16,3,FALSE)</f>
        <v>Mahatma Gandhi</v>
      </c>
      <c r="H275" t="str">
        <f>VLOOKUP(C275,Products!$A$2:$H$16,4,FALSE)</f>
        <v>Soft Cover</v>
      </c>
      <c r="I275">
        <f>VLOOKUP(C275,Products!$A$2:$H$16,5,FALSE)</f>
        <v>1927</v>
      </c>
      <c r="J275" s="29">
        <f>VLOOKUP(C275,Products!$A$2:$H$16,6,FALSE)</f>
        <v>109</v>
      </c>
      <c r="K275" s="32">
        <f>VLOOKUP(C275,Products!$A$2:$H$16,7,FALSE)</f>
        <v>0.3</v>
      </c>
      <c r="L275" s="29">
        <f>VLOOKUP(C275,Products!$A$2:$H$16,8,FALSE)</f>
        <v>141.69999999999999</v>
      </c>
      <c r="M275" s="41">
        <f t="shared" si="12"/>
        <v>6</v>
      </c>
      <c r="N275" s="43">
        <f t="shared" si="13"/>
        <v>2125.5</v>
      </c>
      <c r="O275" s="43">
        <f t="shared" si="14"/>
        <v>1635</v>
      </c>
    </row>
    <row r="276" spans="1:15" x14ac:dyDescent="0.25">
      <c r="A276" s="31">
        <v>41449</v>
      </c>
      <c r="B276" t="s">
        <v>35</v>
      </c>
      <c r="C276" s="30">
        <v>5</v>
      </c>
      <c r="D276" s="30" t="s">
        <v>34</v>
      </c>
      <c r="E276" s="30">
        <v>11</v>
      </c>
      <c r="F276" t="str">
        <f>VLOOKUP(C276,Products!$A$2:$H$16,2,FALSE)</f>
        <v>Wings of Fire</v>
      </c>
      <c r="G276" t="str">
        <f>VLOOKUP(C276,Products!$A$2:$H$16,3,FALSE)</f>
        <v>APJ Abdul Kalam,
Arun Tiwari</v>
      </c>
      <c r="H276" t="str">
        <f>VLOOKUP(C276,Products!$A$2:$H$16,4,FALSE)</f>
        <v>Hard Cover</v>
      </c>
      <c r="I276">
        <f>VLOOKUP(C276,Products!$A$2:$H$16,5,FALSE)</f>
        <v>1999</v>
      </c>
      <c r="J276" s="29">
        <f>VLOOKUP(C276,Products!$A$2:$H$16,6,FALSE)</f>
        <v>1275.2488000000001</v>
      </c>
      <c r="K276" s="32">
        <f>VLOOKUP(C276,Products!$A$2:$H$16,7,FALSE)</f>
        <v>0.1</v>
      </c>
      <c r="L276" s="29">
        <f>VLOOKUP(C276,Products!$A$2:$H$16,8,FALSE)</f>
        <v>1402.77368</v>
      </c>
      <c r="M276" s="41">
        <f t="shared" si="12"/>
        <v>6</v>
      </c>
      <c r="N276" s="43">
        <f t="shared" si="13"/>
        <v>15430.510480000001</v>
      </c>
      <c r="O276" s="43">
        <f t="shared" si="14"/>
        <v>14027.736800000001</v>
      </c>
    </row>
    <row r="277" spans="1:15" x14ac:dyDescent="0.25">
      <c r="A277" s="31">
        <v>41449</v>
      </c>
      <c r="B277" t="s">
        <v>42</v>
      </c>
      <c r="C277" s="30">
        <v>5</v>
      </c>
      <c r="D277" s="30" t="s">
        <v>38</v>
      </c>
      <c r="E277" s="30">
        <v>15</v>
      </c>
      <c r="F277" t="str">
        <f>VLOOKUP(C277,Products!$A$2:$H$16,2,FALSE)</f>
        <v>Wings of Fire</v>
      </c>
      <c r="G277" t="str">
        <f>VLOOKUP(C277,Products!$A$2:$H$16,3,FALSE)</f>
        <v>APJ Abdul Kalam,
Arun Tiwari</v>
      </c>
      <c r="H277" t="str">
        <f>VLOOKUP(C277,Products!$A$2:$H$16,4,FALSE)</f>
        <v>Hard Cover</v>
      </c>
      <c r="I277">
        <f>VLOOKUP(C277,Products!$A$2:$H$16,5,FALSE)</f>
        <v>1999</v>
      </c>
      <c r="J277" s="29">
        <f>VLOOKUP(C277,Products!$A$2:$H$16,6,FALSE)</f>
        <v>1275.2488000000001</v>
      </c>
      <c r="K277" s="32">
        <f>VLOOKUP(C277,Products!$A$2:$H$16,7,FALSE)</f>
        <v>0.1</v>
      </c>
      <c r="L277" s="29">
        <f>VLOOKUP(C277,Products!$A$2:$H$16,8,FALSE)</f>
        <v>1402.77368</v>
      </c>
      <c r="M277" s="41">
        <f t="shared" si="12"/>
        <v>6</v>
      </c>
      <c r="N277" s="43">
        <f t="shared" si="13"/>
        <v>21041.605200000002</v>
      </c>
      <c r="O277" s="43">
        <f t="shared" si="14"/>
        <v>19128.732</v>
      </c>
    </row>
    <row r="278" spans="1:15" x14ac:dyDescent="0.25">
      <c r="A278" s="31">
        <v>41450</v>
      </c>
      <c r="B278" t="s">
        <v>40</v>
      </c>
      <c r="C278" s="30">
        <v>14</v>
      </c>
      <c r="D278" s="30" t="s">
        <v>38</v>
      </c>
      <c r="E278" s="30">
        <v>19</v>
      </c>
      <c r="F278" t="str">
        <f>VLOOKUP(C278,Products!$A$2:$H$16,2,FALSE)</f>
        <v>A Guide to Health</v>
      </c>
      <c r="G278" t="str">
        <f>VLOOKUP(C278,Products!$A$2:$H$16,3,FALSE)</f>
        <v>Mahatma Gandhi</v>
      </c>
      <c r="H278" t="str">
        <f>VLOOKUP(C278,Products!$A$2:$H$16,4,FALSE)</f>
        <v>e-book</v>
      </c>
      <c r="I278">
        <f>VLOOKUP(C278,Products!$A$2:$H$16,5,FALSE)</f>
        <v>2005</v>
      </c>
      <c r="J278" s="29">
        <f>VLOOKUP(C278,Products!$A$2:$H$16,6,FALSE)</f>
        <v>105</v>
      </c>
      <c r="K278" s="32">
        <f>VLOOKUP(C278,Products!$A$2:$H$16,7,FALSE)</f>
        <v>0.15</v>
      </c>
      <c r="L278" s="29">
        <f>VLOOKUP(C278,Products!$A$2:$H$16,8,FALSE)</f>
        <v>120.75</v>
      </c>
      <c r="M278" s="41">
        <f t="shared" si="12"/>
        <v>6</v>
      </c>
      <c r="N278" s="43">
        <f t="shared" si="13"/>
        <v>2294.25</v>
      </c>
      <c r="O278" s="43">
        <f t="shared" si="14"/>
        <v>1995</v>
      </c>
    </row>
    <row r="279" spans="1:15" x14ac:dyDescent="0.25">
      <c r="A279" s="31">
        <v>41450</v>
      </c>
      <c r="B279" t="s">
        <v>36</v>
      </c>
      <c r="C279" s="30">
        <v>12</v>
      </c>
      <c r="D279" s="30" t="s">
        <v>38</v>
      </c>
      <c r="E279" s="30">
        <v>12</v>
      </c>
      <c r="F279" t="str">
        <f>VLOOKUP(C279,Products!$A$2:$H$16,2,FALSE)</f>
        <v>The Story of my Experiments with Truth</v>
      </c>
      <c r="G279" t="str">
        <f>VLOOKUP(C279,Products!$A$2:$H$16,3,FALSE)</f>
        <v>Mahatma Gandhi</v>
      </c>
      <c r="H279" t="str">
        <f>VLOOKUP(C279,Products!$A$2:$H$16,4,FALSE)</f>
        <v>e-book</v>
      </c>
      <c r="I279">
        <f>VLOOKUP(C279,Products!$A$2:$H$16,5,FALSE)</f>
        <v>2004</v>
      </c>
      <c r="J279" s="29">
        <f>VLOOKUP(C279,Products!$A$2:$H$16,6,FALSE)</f>
        <v>50</v>
      </c>
      <c r="K279" s="32">
        <f>VLOOKUP(C279,Products!$A$2:$H$16,7,FALSE)</f>
        <v>0.3</v>
      </c>
      <c r="L279" s="29">
        <f>VLOOKUP(C279,Products!$A$2:$H$16,8,FALSE)</f>
        <v>65</v>
      </c>
      <c r="M279" s="41">
        <f t="shared" si="12"/>
        <v>6</v>
      </c>
      <c r="N279" s="43">
        <f t="shared" si="13"/>
        <v>780</v>
      </c>
      <c r="O279" s="43">
        <f t="shared" si="14"/>
        <v>600</v>
      </c>
    </row>
    <row r="280" spans="1:15" x14ac:dyDescent="0.25">
      <c r="A280" s="31">
        <v>41451</v>
      </c>
      <c r="B280" t="s">
        <v>33</v>
      </c>
      <c r="C280" s="30">
        <v>6</v>
      </c>
      <c r="D280" s="30" t="s">
        <v>38</v>
      </c>
      <c r="E280" s="30">
        <v>4</v>
      </c>
      <c r="F280" t="str">
        <f>VLOOKUP(C280,Products!$A$2:$H$16,2,FALSE)</f>
        <v>The Discovery of India</v>
      </c>
      <c r="G280" t="str">
        <f>VLOOKUP(C280,Products!$A$2:$H$16,3,FALSE)</f>
        <v>Jawaharlal Nehru</v>
      </c>
      <c r="H280" t="str">
        <f>VLOOKUP(C280,Products!$A$2:$H$16,4,FALSE)</f>
        <v>Soft Cover</v>
      </c>
      <c r="I280">
        <f>VLOOKUP(C280,Products!$A$2:$H$16,5,FALSE)</f>
        <v>1946</v>
      </c>
      <c r="J280" s="29">
        <f>VLOOKUP(C280,Products!$A$2:$H$16,6,FALSE)</f>
        <v>499</v>
      </c>
      <c r="K280" s="32">
        <f>VLOOKUP(C280,Products!$A$2:$H$16,7,FALSE)</f>
        <v>0.3</v>
      </c>
      <c r="L280" s="29">
        <f>VLOOKUP(C280,Products!$A$2:$H$16,8,FALSE)</f>
        <v>648.70000000000005</v>
      </c>
      <c r="M280" s="41">
        <f t="shared" si="12"/>
        <v>6</v>
      </c>
      <c r="N280" s="43">
        <f t="shared" si="13"/>
        <v>2594.8000000000002</v>
      </c>
      <c r="O280" s="43">
        <f t="shared" si="14"/>
        <v>1996</v>
      </c>
    </row>
    <row r="281" spans="1:15" x14ac:dyDescent="0.25">
      <c r="A281" s="31">
        <v>41452</v>
      </c>
      <c r="B281" t="s">
        <v>36</v>
      </c>
      <c r="C281" s="30">
        <v>9</v>
      </c>
      <c r="D281" s="30" t="s">
        <v>38</v>
      </c>
      <c r="E281" s="30">
        <v>5</v>
      </c>
      <c r="F281" t="str">
        <f>VLOOKUP(C281,Products!$A$2:$H$16,2,FALSE)</f>
        <v>A Guide to Health</v>
      </c>
      <c r="G281" t="str">
        <f>VLOOKUP(C281,Products!$A$2:$H$16,3,FALSE)</f>
        <v>Mahatma Gandhi</v>
      </c>
      <c r="H281" t="str">
        <f>VLOOKUP(C281,Products!$A$2:$H$16,4,FALSE)</f>
        <v>Soft Cover</v>
      </c>
      <c r="I281">
        <f>VLOOKUP(C281,Products!$A$2:$H$16,5,FALSE)</f>
        <v>1921</v>
      </c>
      <c r="J281" s="29">
        <f>VLOOKUP(C281,Products!$A$2:$H$16,6,FALSE)</f>
        <v>220</v>
      </c>
      <c r="K281" s="32">
        <f>VLOOKUP(C281,Products!$A$2:$H$16,7,FALSE)</f>
        <v>0.15</v>
      </c>
      <c r="L281" s="29">
        <f>VLOOKUP(C281,Products!$A$2:$H$16,8,FALSE)</f>
        <v>253</v>
      </c>
      <c r="M281" s="41">
        <f t="shared" si="12"/>
        <v>6</v>
      </c>
      <c r="N281" s="43">
        <f t="shared" si="13"/>
        <v>1265</v>
      </c>
      <c r="O281" s="43">
        <f t="shared" si="14"/>
        <v>1100</v>
      </c>
    </row>
    <row r="282" spans="1:15" x14ac:dyDescent="0.25">
      <c r="A282" s="31">
        <v>41453</v>
      </c>
      <c r="B282" t="s">
        <v>39</v>
      </c>
      <c r="C282" s="30">
        <v>1</v>
      </c>
      <c r="D282" s="30" t="s">
        <v>38</v>
      </c>
      <c r="E282" s="30">
        <v>19</v>
      </c>
      <c r="F282" t="str">
        <f>VLOOKUP(C282,Products!$A$2:$H$16,2,FALSE)</f>
        <v>The Discovery of India</v>
      </c>
      <c r="G282" t="str">
        <f>VLOOKUP(C282,Products!$A$2:$H$16,3,FALSE)</f>
        <v>Jawaharlal Nehru</v>
      </c>
      <c r="H282" t="str">
        <f>VLOOKUP(C282,Products!$A$2:$H$16,4,FALSE)</f>
        <v>Hard Cover</v>
      </c>
      <c r="I282">
        <f>VLOOKUP(C282,Products!$A$2:$H$16,5,FALSE)</f>
        <v>1946</v>
      </c>
      <c r="J282" s="29">
        <f>VLOOKUP(C282,Products!$A$2:$H$16,6,FALSE)</f>
        <v>599.95000000000005</v>
      </c>
      <c r="K282" s="32">
        <f>VLOOKUP(C282,Products!$A$2:$H$16,7,FALSE)</f>
        <v>0.3</v>
      </c>
      <c r="L282" s="29">
        <f>VLOOKUP(C282,Products!$A$2:$H$16,8,FALSE)</f>
        <v>779.93500000000006</v>
      </c>
      <c r="M282" s="41">
        <f t="shared" si="12"/>
        <v>6</v>
      </c>
      <c r="N282" s="43">
        <f t="shared" si="13"/>
        <v>14818.765000000001</v>
      </c>
      <c r="O282" s="43">
        <f t="shared" si="14"/>
        <v>11399.050000000001</v>
      </c>
    </row>
    <row r="283" spans="1:15" x14ac:dyDescent="0.25">
      <c r="A283" s="31">
        <v>41453</v>
      </c>
      <c r="B283" t="s">
        <v>40</v>
      </c>
      <c r="C283" s="30">
        <v>10</v>
      </c>
      <c r="D283" s="30" t="s">
        <v>34</v>
      </c>
      <c r="E283" s="30">
        <v>9</v>
      </c>
      <c r="F283" t="str">
        <f>VLOOKUP(C283,Products!$A$2:$H$16,2,FALSE)</f>
        <v>Wings of Fire</v>
      </c>
      <c r="G283" t="str">
        <f>VLOOKUP(C283,Products!$A$2:$H$16,3,FALSE)</f>
        <v>APJ Abdul Kalam,
Arun Tiwari</v>
      </c>
      <c r="H283" t="str">
        <f>VLOOKUP(C283,Products!$A$2:$H$16,4,FALSE)</f>
        <v>Soft Cover</v>
      </c>
      <c r="I283">
        <f>VLOOKUP(C283,Products!$A$2:$H$16,5,FALSE)</f>
        <v>1999</v>
      </c>
      <c r="J283" s="29">
        <f>VLOOKUP(C283,Products!$A$2:$H$16,6,FALSE)</f>
        <v>1200</v>
      </c>
      <c r="K283" s="32">
        <f>VLOOKUP(C283,Products!$A$2:$H$16,7,FALSE)</f>
        <v>0.1</v>
      </c>
      <c r="L283" s="29">
        <f>VLOOKUP(C283,Products!$A$2:$H$16,8,FALSE)</f>
        <v>1320</v>
      </c>
      <c r="M283" s="41">
        <f t="shared" si="12"/>
        <v>6</v>
      </c>
      <c r="N283" s="43">
        <f t="shared" si="13"/>
        <v>11880</v>
      </c>
      <c r="O283" s="43">
        <f t="shared" si="14"/>
        <v>10800</v>
      </c>
    </row>
    <row r="284" spans="1:15" x14ac:dyDescent="0.25">
      <c r="A284" s="31">
        <v>41454</v>
      </c>
      <c r="B284" t="s">
        <v>35</v>
      </c>
      <c r="C284" s="30">
        <v>14</v>
      </c>
      <c r="D284" s="30" t="s">
        <v>38</v>
      </c>
      <c r="E284" s="30">
        <v>13</v>
      </c>
      <c r="F284" t="str">
        <f>VLOOKUP(C284,Products!$A$2:$H$16,2,FALSE)</f>
        <v>A Guide to Health</v>
      </c>
      <c r="G284" t="str">
        <f>VLOOKUP(C284,Products!$A$2:$H$16,3,FALSE)</f>
        <v>Mahatma Gandhi</v>
      </c>
      <c r="H284" t="str">
        <f>VLOOKUP(C284,Products!$A$2:$H$16,4,FALSE)</f>
        <v>e-book</v>
      </c>
      <c r="I284">
        <f>VLOOKUP(C284,Products!$A$2:$H$16,5,FALSE)</f>
        <v>2005</v>
      </c>
      <c r="J284" s="29">
        <f>VLOOKUP(C284,Products!$A$2:$H$16,6,FALSE)</f>
        <v>105</v>
      </c>
      <c r="K284" s="32">
        <f>VLOOKUP(C284,Products!$A$2:$H$16,7,FALSE)</f>
        <v>0.15</v>
      </c>
      <c r="L284" s="29">
        <f>VLOOKUP(C284,Products!$A$2:$H$16,8,FALSE)</f>
        <v>120.75</v>
      </c>
      <c r="M284" s="41">
        <f t="shared" si="12"/>
        <v>6</v>
      </c>
      <c r="N284" s="43">
        <f t="shared" si="13"/>
        <v>1569.75</v>
      </c>
      <c r="O284" s="43">
        <f t="shared" si="14"/>
        <v>1365</v>
      </c>
    </row>
    <row r="285" spans="1:15" x14ac:dyDescent="0.25">
      <c r="A285" s="31">
        <v>41454</v>
      </c>
      <c r="B285" t="s">
        <v>33</v>
      </c>
      <c r="C285" s="30">
        <v>13</v>
      </c>
      <c r="D285" s="30" t="s">
        <v>34</v>
      </c>
      <c r="E285" s="30">
        <v>14</v>
      </c>
      <c r="F285" t="str">
        <f>VLOOKUP(C285,Products!$A$2:$H$16,2,FALSE)</f>
        <v>Glimpses of World History</v>
      </c>
      <c r="G285" t="str">
        <f>VLOOKUP(C285,Products!$A$2:$H$16,3,FALSE)</f>
        <v>Jawaharlal Nehru</v>
      </c>
      <c r="H285" t="str">
        <f>VLOOKUP(C285,Products!$A$2:$H$16,4,FALSE)</f>
        <v>e-book</v>
      </c>
      <c r="I285">
        <f>VLOOKUP(C285,Products!$A$2:$H$16,5,FALSE)</f>
        <v>2005</v>
      </c>
      <c r="J285" s="29">
        <f>VLOOKUP(C285,Products!$A$2:$H$16,6,FALSE)</f>
        <v>300</v>
      </c>
      <c r="K285" s="32">
        <f>VLOOKUP(C285,Products!$A$2:$H$16,7,FALSE)</f>
        <v>0.2</v>
      </c>
      <c r="L285" s="29">
        <f>VLOOKUP(C285,Products!$A$2:$H$16,8,FALSE)</f>
        <v>360</v>
      </c>
      <c r="M285" s="41">
        <f t="shared" si="12"/>
        <v>6</v>
      </c>
      <c r="N285" s="43">
        <f t="shared" si="13"/>
        <v>5040</v>
      </c>
      <c r="O285" s="43">
        <f t="shared" si="14"/>
        <v>4200</v>
      </c>
    </row>
    <row r="286" spans="1:15" x14ac:dyDescent="0.25">
      <c r="A286" s="31">
        <v>41455</v>
      </c>
      <c r="B286" t="s">
        <v>35</v>
      </c>
      <c r="C286" s="30">
        <v>6</v>
      </c>
      <c r="D286" s="30" t="s">
        <v>38</v>
      </c>
      <c r="E286" s="30">
        <v>13</v>
      </c>
      <c r="F286" t="str">
        <f>VLOOKUP(C286,Products!$A$2:$H$16,2,FALSE)</f>
        <v>The Discovery of India</v>
      </c>
      <c r="G286" t="str">
        <f>VLOOKUP(C286,Products!$A$2:$H$16,3,FALSE)</f>
        <v>Jawaharlal Nehru</v>
      </c>
      <c r="H286" t="str">
        <f>VLOOKUP(C286,Products!$A$2:$H$16,4,FALSE)</f>
        <v>Soft Cover</v>
      </c>
      <c r="I286">
        <f>VLOOKUP(C286,Products!$A$2:$H$16,5,FALSE)</f>
        <v>1946</v>
      </c>
      <c r="J286" s="29">
        <f>VLOOKUP(C286,Products!$A$2:$H$16,6,FALSE)</f>
        <v>499</v>
      </c>
      <c r="K286" s="32">
        <f>VLOOKUP(C286,Products!$A$2:$H$16,7,FALSE)</f>
        <v>0.3</v>
      </c>
      <c r="L286" s="29">
        <f>VLOOKUP(C286,Products!$A$2:$H$16,8,FALSE)</f>
        <v>648.70000000000005</v>
      </c>
      <c r="M286" s="41">
        <f t="shared" si="12"/>
        <v>6</v>
      </c>
      <c r="N286" s="43">
        <f t="shared" si="13"/>
        <v>8433.1</v>
      </c>
      <c r="O286" s="43">
        <f t="shared" si="14"/>
        <v>6487</v>
      </c>
    </row>
    <row r="287" spans="1:15" x14ac:dyDescent="0.25">
      <c r="A287" s="31">
        <v>41455</v>
      </c>
      <c r="B287" t="s">
        <v>41</v>
      </c>
      <c r="C287" s="30">
        <v>6</v>
      </c>
      <c r="D287" s="30" t="s">
        <v>38</v>
      </c>
      <c r="E287" s="30">
        <v>6</v>
      </c>
      <c r="F287" t="str">
        <f>VLOOKUP(C287,Products!$A$2:$H$16,2,FALSE)</f>
        <v>The Discovery of India</v>
      </c>
      <c r="G287" t="str">
        <f>VLOOKUP(C287,Products!$A$2:$H$16,3,FALSE)</f>
        <v>Jawaharlal Nehru</v>
      </c>
      <c r="H287" t="str">
        <f>VLOOKUP(C287,Products!$A$2:$H$16,4,FALSE)</f>
        <v>Soft Cover</v>
      </c>
      <c r="I287">
        <f>VLOOKUP(C287,Products!$A$2:$H$16,5,FALSE)</f>
        <v>1946</v>
      </c>
      <c r="J287" s="29">
        <f>VLOOKUP(C287,Products!$A$2:$H$16,6,FALSE)</f>
        <v>499</v>
      </c>
      <c r="K287" s="32">
        <f>VLOOKUP(C287,Products!$A$2:$H$16,7,FALSE)</f>
        <v>0.3</v>
      </c>
      <c r="L287" s="29">
        <f>VLOOKUP(C287,Products!$A$2:$H$16,8,FALSE)</f>
        <v>648.70000000000005</v>
      </c>
      <c r="M287" s="41">
        <f t="shared" si="12"/>
        <v>6</v>
      </c>
      <c r="N287" s="43">
        <f t="shared" si="13"/>
        <v>3892.2000000000003</v>
      </c>
      <c r="O287" s="43">
        <f t="shared" si="14"/>
        <v>2994</v>
      </c>
    </row>
    <row r="288" spans="1:15" x14ac:dyDescent="0.25">
      <c r="A288" s="31">
        <v>41456</v>
      </c>
      <c r="B288" t="s">
        <v>37</v>
      </c>
      <c r="C288" s="30">
        <v>4</v>
      </c>
      <c r="D288" s="30" t="s">
        <v>38</v>
      </c>
      <c r="E288" s="30">
        <v>7</v>
      </c>
      <c r="F288" t="str">
        <f>VLOOKUP(C288,Products!$A$2:$H$16,2,FALSE)</f>
        <v>A Guide to Health</v>
      </c>
      <c r="G288" t="str">
        <f>VLOOKUP(C288,Products!$A$2:$H$16,3,FALSE)</f>
        <v>Mahatma Gandhi</v>
      </c>
      <c r="H288" t="str">
        <f>VLOOKUP(C288,Products!$A$2:$H$16,4,FALSE)</f>
        <v>Hard Cover</v>
      </c>
      <c r="I288">
        <f>VLOOKUP(C288,Products!$A$2:$H$16,5,FALSE)</f>
        <v>1921</v>
      </c>
      <c r="J288" s="29">
        <f>VLOOKUP(C288,Products!$A$2:$H$16,6,FALSE)</f>
        <v>250</v>
      </c>
      <c r="K288" s="32">
        <f>VLOOKUP(C288,Products!$A$2:$H$16,7,FALSE)</f>
        <v>0.15</v>
      </c>
      <c r="L288" s="29">
        <f>VLOOKUP(C288,Products!$A$2:$H$16,8,FALSE)</f>
        <v>287.5</v>
      </c>
      <c r="M288" s="41">
        <f t="shared" si="12"/>
        <v>7</v>
      </c>
      <c r="N288" s="43">
        <f t="shared" si="13"/>
        <v>2012.5</v>
      </c>
      <c r="O288" s="43">
        <f t="shared" si="14"/>
        <v>1750</v>
      </c>
    </row>
    <row r="289" spans="1:15" x14ac:dyDescent="0.25">
      <c r="A289" s="31">
        <v>41456</v>
      </c>
      <c r="B289" t="s">
        <v>42</v>
      </c>
      <c r="C289" s="30">
        <v>14</v>
      </c>
      <c r="D289" s="30" t="s">
        <v>38</v>
      </c>
      <c r="E289" s="30">
        <v>2</v>
      </c>
      <c r="F289" t="str">
        <f>VLOOKUP(C289,Products!$A$2:$H$16,2,FALSE)</f>
        <v>A Guide to Health</v>
      </c>
      <c r="G289" t="str">
        <f>VLOOKUP(C289,Products!$A$2:$H$16,3,FALSE)</f>
        <v>Mahatma Gandhi</v>
      </c>
      <c r="H289" t="str">
        <f>VLOOKUP(C289,Products!$A$2:$H$16,4,FALSE)</f>
        <v>e-book</v>
      </c>
      <c r="I289">
        <f>VLOOKUP(C289,Products!$A$2:$H$16,5,FALSE)</f>
        <v>2005</v>
      </c>
      <c r="J289" s="29">
        <f>VLOOKUP(C289,Products!$A$2:$H$16,6,FALSE)</f>
        <v>105</v>
      </c>
      <c r="K289" s="32">
        <f>VLOOKUP(C289,Products!$A$2:$H$16,7,FALSE)</f>
        <v>0.15</v>
      </c>
      <c r="L289" s="29">
        <f>VLOOKUP(C289,Products!$A$2:$H$16,8,FALSE)</f>
        <v>120.75</v>
      </c>
      <c r="M289" s="41">
        <f t="shared" si="12"/>
        <v>7</v>
      </c>
      <c r="N289" s="43">
        <f t="shared" si="13"/>
        <v>241.5</v>
      </c>
      <c r="O289" s="43">
        <f t="shared" si="14"/>
        <v>210</v>
      </c>
    </row>
    <row r="290" spans="1:15" x14ac:dyDescent="0.25">
      <c r="A290" s="31">
        <v>41457</v>
      </c>
      <c r="B290" t="s">
        <v>41</v>
      </c>
      <c r="C290" s="30">
        <v>2</v>
      </c>
      <c r="D290" s="30" t="s">
        <v>34</v>
      </c>
      <c r="E290" s="30">
        <v>16</v>
      </c>
      <c r="F290" t="str">
        <f>VLOOKUP(C290,Products!$A$2:$H$16,2,FALSE)</f>
        <v>The Story of my Experiments with Truth</v>
      </c>
      <c r="G290" t="str">
        <f>VLOOKUP(C290,Products!$A$2:$H$16,3,FALSE)</f>
        <v>Mahatma Gandhi</v>
      </c>
      <c r="H290" t="str">
        <f>VLOOKUP(C290,Products!$A$2:$H$16,4,FALSE)</f>
        <v>Hard Cover</v>
      </c>
      <c r="I290">
        <f>VLOOKUP(C290,Products!$A$2:$H$16,5,FALSE)</f>
        <v>1927</v>
      </c>
      <c r="J290" s="29">
        <f>VLOOKUP(C290,Products!$A$2:$H$16,6,FALSE)</f>
        <v>159</v>
      </c>
      <c r="K290" s="32">
        <f>VLOOKUP(C290,Products!$A$2:$H$16,7,FALSE)</f>
        <v>0.3</v>
      </c>
      <c r="L290" s="29">
        <f>VLOOKUP(C290,Products!$A$2:$H$16,8,FALSE)</f>
        <v>206.7</v>
      </c>
      <c r="M290" s="41">
        <f t="shared" si="12"/>
        <v>7</v>
      </c>
      <c r="N290" s="43">
        <f t="shared" si="13"/>
        <v>3307.2</v>
      </c>
      <c r="O290" s="43">
        <f t="shared" si="14"/>
        <v>2544</v>
      </c>
    </row>
    <row r="291" spans="1:15" x14ac:dyDescent="0.25">
      <c r="A291" s="31">
        <v>41458</v>
      </c>
      <c r="B291" t="s">
        <v>35</v>
      </c>
      <c r="C291" s="30">
        <v>3</v>
      </c>
      <c r="D291" s="30" t="s">
        <v>38</v>
      </c>
      <c r="E291" s="30">
        <v>12</v>
      </c>
      <c r="F291" t="str">
        <f>VLOOKUP(C291,Products!$A$2:$H$16,2,FALSE)</f>
        <v>Glimpses of World History</v>
      </c>
      <c r="G291" t="str">
        <f>VLOOKUP(C291,Products!$A$2:$H$16,3,FALSE)</f>
        <v>Jawaharlal Nehru</v>
      </c>
      <c r="H291" t="str">
        <f>VLOOKUP(C291,Products!$A$2:$H$16,4,FALSE)</f>
        <v>Hard Cover</v>
      </c>
      <c r="I291">
        <f>VLOOKUP(C291,Products!$A$2:$H$16,5,FALSE)</f>
        <v>1934</v>
      </c>
      <c r="J291" s="29">
        <f>VLOOKUP(C291,Products!$A$2:$H$16,6,FALSE)</f>
        <v>750.45899999999995</v>
      </c>
      <c r="K291" s="32">
        <f>VLOOKUP(C291,Products!$A$2:$H$16,7,FALSE)</f>
        <v>0.2</v>
      </c>
      <c r="L291" s="29">
        <f>VLOOKUP(C291,Products!$A$2:$H$16,8,FALSE)</f>
        <v>900.55079999999998</v>
      </c>
      <c r="M291" s="41">
        <f t="shared" si="12"/>
        <v>7</v>
      </c>
      <c r="N291" s="43">
        <f t="shared" si="13"/>
        <v>10806.6096</v>
      </c>
      <c r="O291" s="43">
        <f t="shared" si="14"/>
        <v>9005.5079999999998</v>
      </c>
    </row>
    <row r="292" spans="1:15" x14ac:dyDescent="0.25">
      <c r="A292" s="31">
        <v>41458</v>
      </c>
      <c r="B292" t="s">
        <v>37</v>
      </c>
      <c r="C292" s="30">
        <v>3</v>
      </c>
      <c r="D292" s="30" t="s">
        <v>34</v>
      </c>
      <c r="E292" s="30">
        <v>1</v>
      </c>
      <c r="F292" t="str">
        <f>VLOOKUP(C292,Products!$A$2:$H$16,2,FALSE)</f>
        <v>Glimpses of World History</v>
      </c>
      <c r="G292" t="str">
        <f>VLOOKUP(C292,Products!$A$2:$H$16,3,FALSE)</f>
        <v>Jawaharlal Nehru</v>
      </c>
      <c r="H292" t="str">
        <f>VLOOKUP(C292,Products!$A$2:$H$16,4,FALSE)</f>
        <v>Hard Cover</v>
      </c>
      <c r="I292">
        <f>VLOOKUP(C292,Products!$A$2:$H$16,5,FALSE)</f>
        <v>1934</v>
      </c>
      <c r="J292" s="29">
        <f>VLOOKUP(C292,Products!$A$2:$H$16,6,FALSE)</f>
        <v>750.45899999999995</v>
      </c>
      <c r="K292" s="32">
        <f>VLOOKUP(C292,Products!$A$2:$H$16,7,FALSE)</f>
        <v>0.2</v>
      </c>
      <c r="L292" s="29">
        <f>VLOOKUP(C292,Products!$A$2:$H$16,8,FALSE)</f>
        <v>900.55079999999998</v>
      </c>
      <c r="M292" s="41">
        <f t="shared" si="12"/>
        <v>7</v>
      </c>
      <c r="N292" s="43">
        <f t="shared" si="13"/>
        <v>900.55079999999998</v>
      </c>
      <c r="O292" s="43">
        <f t="shared" si="14"/>
        <v>750.45899999999995</v>
      </c>
    </row>
    <row r="293" spans="1:15" x14ac:dyDescent="0.25">
      <c r="A293" s="31">
        <v>41459</v>
      </c>
      <c r="B293" t="s">
        <v>36</v>
      </c>
      <c r="C293" s="30">
        <v>15</v>
      </c>
      <c r="D293" s="30" t="s">
        <v>34</v>
      </c>
      <c r="E293" s="30">
        <v>13</v>
      </c>
      <c r="F293" t="str">
        <f>VLOOKUP(C293,Products!$A$2:$H$16,2,FALSE)</f>
        <v>Wings of Fire</v>
      </c>
      <c r="G293" t="str">
        <f>VLOOKUP(C293,Products!$A$2:$H$16,3,FALSE)</f>
        <v>APJ Abdul Kalam,
Arun Tiwari</v>
      </c>
      <c r="H293" t="str">
        <f>VLOOKUP(C293,Products!$A$2:$H$16,4,FALSE)</f>
        <v>e-book</v>
      </c>
      <c r="I293">
        <f>VLOOKUP(C293,Products!$A$2:$H$16,5,FALSE)</f>
        <v>2005</v>
      </c>
      <c r="J293" s="29">
        <f>VLOOKUP(C293,Products!$A$2:$H$16,6,FALSE)</f>
        <v>500</v>
      </c>
      <c r="K293" s="32">
        <f>VLOOKUP(C293,Products!$A$2:$H$16,7,FALSE)</f>
        <v>0.1</v>
      </c>
      <c r="L293" s="29">
        <f>VLOOKUP(C293,Products!$A$2:$H$16,8,FALSE)</f>
        <v>550</v>
      </c>
      <c r="M293" s="41">
        <f t="shared" si="12"/>
        <v>7</v>
      </c>
      <c r="N293" s="43">
        <f t="shared" si="13"/>
        <v>7150</v>
      </c>
      <c r="O293" s="43">
        <f t="shared" si="14"/>
        <v>6500</v>
      </c>
    </row>
    <row r="294" spans="1:15" x14ac:dyDescent="0.25">
      <c r="A294" s="31">
        <v>41462</v>
      </c>
      <c r="B294" t="s">
        <v>40</v>
      </c>
      <c r="C294" s="30">
        <v>6</v>
      </c>
      <c r="D294" s="30" t="s">
        <v>34</v>
      </c>
      <c r="E294" s="30">
        <v>18</v>
      </c>
      <c r="F294" t="str">
        <f>VLOOKUP(C294,Products!$A$2:$H$16,2,FALSE)</f>
        <v>The Discovery of India</v>
      </c>
      <c r="G294" t="str">
        <f>VLOOKUP(C294,Products!$A$2:$H$16,3,FALSE)</f>
        <v>Jawaharlal Nehru</v>
      </c>
      <c r="H294" t="str">
        <f>VLOOKUP(C294,Products!$A$2:$H$16,4,FALSE)</f>
        <v>Soft Cover</v>
      </c>
      <c r="I294">
        <f>VLOOKUP(C294,Products!$A$2:$H$16,5,FALSE)</f>
        <v>1946</v>
      </c>
      <c r="J294" s="29">
        <f>VLOOKUP(C294,Products!$A$2:$H$16,6,FALSE)</f>
        <v>499</v>
      </c>
      <c r="K294" s="32">
        <f>VLOOKUP(C294,Products!$A$2:$H$16,7,FALSE)</f>
        <v>0.3</v>
      </c>
      <c r="L294" s="29">
        <f>VLOOKUP(C294,Products!$A$2:$H$16,8,FALSE)</f>
        <v>648.70000000000005</v>
      </c>
      <c r="M294" s="41">
        <f t="shared" si="12"/>
        <v>7</v>
      </c>
      <c r="N294" s="43">
        <f t="shared" si="13"/>
        <v>11676.6</v>
      </c>
      <c r="O294" s="43">
        <f t="shared" si="14"/>
        <v>8982</v>
      </c>
    </row>
    <row r="295" spans="1:15" x14ac:dyDescent="0.25">
      <c r="A295" s="31">
        <v>41463</v>
      </c>
      <c r="B295" t="s">
        <v>36</v>
      </c>
      <c r="C295" s="30">
        <v>8</v>
      </c>
      <c r="D295" s="30" t="s">
        <v>34</v>
      </c>
      <c r="E295" s="30">
        <v>19</v>
      </c>
      <c r="F295" t="str">
        <f>VLOOKUP(C295,Products!$A$2:$H$16,2,FALSE)</f>
        <v>Glimpses of World History</v>
      </c>
      <c r="G295" t="str">
        <f>VLOOKUP(C295,Products!$A$2:$H$16,3,FALSE)</f>
        <v>Jawaharlal Nehru</v>
      </c>
      <c r="H295" t="str">
        <f>VLOOKUP(C295,Products!$A$2:$H$16,4,FALSE)</f>
        <v>Soft Cover</v>
      </c>
      <c r="I295">
        <f>VLOOKUP(C295,Products!$A$2:$H$16,5,FALSE)</f>
        <v>1934</v>
      </c>
      <c r="J295" s="29">
        <f>VLOOKUP(C295,Products!$A$2:$H$16,6,FALSE)</f>
        <v>650</v>
      </c>
      <c r="K295" s="32">
        <f>VLOOKUP(C295,Products!$A$2:$H$16,7,FALSE)</f>
        <v>0.2</v>
      </c>
      <c r="L295" s="29">
        <f>VLOOKUP(C295,Products!$A$2:$H$16,8,FALSE)</f>
        <v>780</v>
      </c>
      <c r="M295" s="41">
        <f t="shared" si="12"/>
        <v>7</v>
      </c>
      <c r="N295" s="43">
        <f t="shared" si="13"/>
        <v>14820</v>
      </c>
      <c r="O295" s="43">
        <f t="shared" si="14"/>
        <v>12350</v>
      </c>
    </row>
    <row r="296" spans="1:15" x14ac:dyDescent="0.25">
      <c r="A296" s="31">
        <v>41463</v>
      </c>
      <c r="B296" t="s">
        <v>36</v>
      </c>
      <c r="C296" s="30">
        <v>1</v>
      </c>
      <c r="D296" s="30" t="s">
        <v>38</v>
      </c>
      <c r="E296" s="30">
        <v>10</v>
      </c>
      <c r="F296" t="str">
        <f>VLOOKUP(C296,Products!$A$2:$H$16,2,FALSE)</f>
        <v>The Discovery of India</v>
      </c>
      <c r="G296" t="str">
        <f>VLOOKUP(C296,Products!$A$2:$H$16,3,FALSE)</f>
        <v>Jawaharlal Nehru</v>
      </c>
      <c r="H296" t="str">
        <f>VLOOKUP(C296,Products!$A$2:$H$16,4,FALSE)</f>
        <v>Hard Cover</v>
      </c>
      <c r="I296">
        <f>VLOOKUP(C296,Products!$A$2:$H$16,5,FALSE)</f>
        <v>1946</v>
      </c>
      <c r="J296" s="29">
        <f>VLOOKUP(C296,Products!$A$2:$H$16,6,FALSE)</f>
        <v>599.95000000000005</v>
      </c>
      <c r="K296" s="32">
        <f>VLOOKUP(C296,Products!$A$2:$H$16,7,FALSE)</f>
        <v>0.3</v>
      </c>
      <c r="L296" s="29">
        <f>VLOOKUP(C296,Products!$A$2:$H$16,8,FALSE)</f>
        <v>779.93500000000006</v>
      </c>
      <c r="M296" s="41">
        <f t="shared" si="12"/>
        <v>7</v>
      </c>
      <c r="N296" s="43">
        <f t="shared" si="13"/>
        <v>7799.35</v>
      </c>
      <c r="O296" s="43">
        <f t="shared" si="14"/>
        <v>5999.5</v>
      </c>
    </row>
    <row r="297" spans="1:15" x14ac:dyDescent="0.25">
      <c r="A297" s="31">
        <v>41463</v>
      </c>
      <c r="B297" t="s">
        <v>37</v>
      </c>
      <c r="C297" s="30">
        <v>4</v>
      </c>
      <c r="D297" s="30" t="s">
        <v>38</v>
      </c>
      <c r="E297" s="30">
        <v>7</v>
      </c>
      <c r="F297" t="str">
        <f>VLOOKUP(C297,Products!$A$2:$H$16,2,FALSE)</f>
        <v>A Guide to Health</v>
      </c>
      <c r="G297" t="str">
        <f>VLOOKUP(C297,Products!$A$2:$H$16,3,FALSE)</f>
        <v>Mahatma Gandhi</v>
      </c>
      <c r="H297" t="str">
        <f>VLOOKUP(C297,Products!$A$2:$H$16,4,FALSE)</f>
        <v>Hard Cover</v>
      </c>
      <c r="I297">
        <f>VLOOKUP(C297,Products!$A$2:$H$16,5,FALSE)</f>
        <v>1921</v>
      </c>
      <c r="J297" s="29">
        <f>VLOOKUP(C297,Products!$A$2:$H$16,6,FALSE)</f>
        <v>250</v>
      </c>
      <c r="K297" s="32">
        <f>VLOOKUP(C297,Products!$A$2:$H$16,7,FALSE)</f>
        <v>0.15</v>
      </c>
      <c r="L297" s="29">
        <f>VLOOKUP(C297,Products!$A$2:$H$16,8,FALSE)</f>
        <v>287.5</v>
      </c>
      <c r="M297" s="41">
        <f t="shared" si="12"/>
        <v>7</v>
      </c>
      <c r="N297" s="43">
        <f t="shared" si="13"/>
        <v>2012.5</v>
      </c>
      <c r="O297" s="43">
        <f t="shared" si="14"/>
        <v>1750</v>
      </c>
    </row>
    <row r="298" spans="1:15" x14ac:dyDescent="0.25">
      <c r="A298" s="31">
        <v>41465</v>
      </c>
      <c r="B298" t="s">
        <v>39</v>
      </c>
      <c r="C298" s="30">
        <v>5</v>
      </c>
      <c r="D298" s="30" t="s">
        <v>38</v>
      </c>
      <c r="E298" s="30">
        <v>16</v>
      </c>
      <c r="F298" t="str">
        <f>VLOOKUP(C298,Products!$A$2:$H$16,2,FALSE)</f>
        <v>Wings of Fire</v>
      </c>
      <c r="G298" t="str">
        <f>VLOOKUP(C298,Products!$A$2:$H$16,3,FALSE)</f>
        <v>APJ Abdul Kalam,
Arun Tiwari</v>
      </c>
      <c r="H298" t="str">
        <f>VLOOKUP(C298,Products!$A$2:$H$16,4,FALSE)</f>
        <v>Hard Cover</v>
      </c>
      <c r="I298">
        <f>VLOOKUP(C298,Products!$A$2:$H$16,5,FALSE)</f>
        <v>1999</v>
      </c>
      <c r="J298" s="29">
        <f>VLOOKUP(C298,Products!$A$2:$H$16,6,FALSE)</f>
        <v>1275.2488000000001</v>
      </c>
      <c r="K298" s="32">
        <f>VLOOKUP(C298,Products!$A$2:$H$16,7,FALSE)</f>
        <v>0.1</v>
      </c>
      <c r="L298" s="29">
        <f>VLOOKUP(C298,Products!$A$2:$H$16,8,FALSE)</f>
        <v>1402.77368</v>
      </c>
      <c r="M298" s="41">
        <f t="shared" si="12"/>
        <v>7</v>
      </c>
      <c r="N298" s="43">
        <f t="shared" si="13"/>
        <v>22444.37888</v>
      </c>
      <c r="O298" s="43">
        <f t="shared" si="14"/>
        <v>20403.980800000001</v>
      </c>
    </row>
    <row r="299" spans="1:15" x14ac:dyDescent="0.25">
      <c r="A299" s="31">
        <v>41466</v>
      </c>
      <c r="B299" t="s">
        <v>39</v>
      </c>
      <c r="C299" s="30">
        <v>7</v>
      </c>
      <c r="D299" s="30" t="s">
        <v>38</v>
      </c>
      <c r="E299" s="30">
        <v>20</v>
      </c>
      <c r="F299" t="str">
        <f>VLOOKUP(C299,Products!$A$2:$H$16,2,FALSE)</f>
        <v>The Story of my Experiments with Truth</v>
      </c>
      <c r="G299" t="str">
        <f>VLOOKUP(C299,Products!$A$2:$H$16,3,FALSE)</f>
        <v>Mahatma Gandhi</v>
      </c>
      <c r="H299" t="str">
        <f>VLOOKUP(C299,Products!$A$2:$H$16,4,FALSE)</f>
        <v>Soft Cover</v>
      </c>
      <c r="I299">
        <f>VLOOKUP(C299,Products!$A$2:$H$16,5,FALSE)</f>
        <v>1927</v>
      </c>
      <c r="J299" s="29">
        <f>VLOOKUP(C299,Products!$A$2:$H$16,6,FALSE)</f>
        <v>109</v>
      </c>
      <c r="K299" s="32">
        <f>VLOOKUP(C299,Products!$A$2:$H$16,7,FALSE)</f>
        <v>0.3</v>
      </c>
      <c r="L299" s="29">
        <f>VLOOKUP(C299,Products!$A$2:$H$16,8,FALSE)</f>
        <v>141.69999999999999</v>
      </c>
      <c r="M299" s="41">
        <f t="shared" si="12"/>
        <v>7</v>
      </c>
      <c r="N299" s="43">
        <f t="shared" si="13"/>
        <v>2834</v>
      </c>
      <c r="O299" s="43">
        <f t="shared" si="14"/>
        <v>2180</v>
      </c>
    </row>
    <row r="300" spans="1:15" x14ac:dyDescent="0.25">
      <c r="A300" s="31">
        <v>41466</v>
      </c>
      <c r="B300" t="s">
        <v>36</v>
      </c>
      <c r="C300" s="30">
        <v>7</v>
      </c>
      <c r="D300" s="30" t="s">
        <v>38</v>
      </c>
      <c r="E300" s="30">
        <v>20</v>
      </c>
      <c r="F300" t="str">
        <f>VLOOKUP(C300,Products!$A$2:$H$16,2,FALSE)</f>
        <v>The Story of my Experiments with Truth</v>
      </c>
      <c r="G300" t="str">
        <f>VLOOKUP(C300,Products!$A$2:$H$16,3,FALSE)</f>
        <v>Mahatma Gandhi</v>
      </c>
      <c r="H300" t="str">
        <f>VLOOKUP(C300,Products!$A$2:$H$16,4,FALSE)</f>
        <v>Soft Cover</v>
      </c>
      <c r="I300">
        <f>VLOOKUP(C300,Products!$A$2:$H$16,5,FALSE)</f>
        <v>1927</v>
      </c>
      <c r="J300" s="29">
        <f>VLOOKUP(C300,Products!$A$2:$H$16,6,FALSE)</f>
        <v>109</v>
      </c>
      <c r="K300" s="32">
        <f>VLOOKUP(C300,Products!$A$2:$H$16,7,FALSE)</f>
        <v>0.3</v>
      </c>
      <c r="L300" s="29">
        <f>VLOOKUP(C300,Products!$A$2:$H$16,8,FALSE)</f>
        <v>141.69999999999999</v>
      </c>
      <c r="M300" s="41">
        <f t="shared" si="12"/>
        <v>7</v>
      </c>
      <c r="N300" s="43">
        <f t="shared" si="13"/>
        <v>2834</v>
      </c>
      <c r="O300" s="43">
        <f t="shared" si="14"/>
        <v>2180</v>
      </c>
    </row>
    <row r="301" spans="1:15" x14ac:dyDescent="0.25">
      <c r="A301" s="31">
        <v>41466</v>
      </c>
      <c r="B301" t="s">
        <v>41</v>
      </c>
      <c r="C301" s="30">
        <v>10</v>
      </c>
      <c r="D301" s="30" t="s">
        <v>34</v>
      </c>
      <c r="E301" s="30">
        <v>12</v>
      </c>
      <c r="F301" t="str">
        <f>VLOOKUP(C301,Products!$A$2:$H$16,2,FALSE)</f>
        <v>Wings of Fire</v>
      </c>
      <c r="G301" t="str">
        <f>VLOOKUP(C301,Products!$A$2:$H$16,3,FALSE)</f>
        <v>APJ Abdul Kalam,
Arun Tiwari</v>
      </c>
      <c r="H301" t="str">
        <f>VLOOKUP(C301,Products!$A$2:$H$16,4,FALSE)</f>
        <v>Soft Cover</v>
      </c>
      <c r="I301">
        <f>VLOOKUP(C301,Products!$A$2:$H$16,5,FALSE)</f>
        <v>1999</v>
      </c>
      <c r="J301" s="29">
        <f>VLOOKUP(C301,Products!$A$2:$H$16,6,FALSE)</f>
        <v>1200</v>
      </c>
      <c r="K301" s="32">
        <f>VLOOKUP(C301,Products!$A$2:$H$16,7,FALSE)</f>
        <v>0.1</v>
      </c>
      <c r="L301" s="29">
        <f>VLOOKUP(C301,Products!$A$2:$H$16,8,FALSE)</f>
        <v>1320</v>
      </c>
      <c r="M301" s="41">
        <f t="shared" si="12"/>
        <v>7</v>
      </c>
      <c r="N301" s="43">
        <f t="shared" si="13"/>
        <v>15840</v>
      </c>
      <c r="O301" s="43">
        <f t="shared" si="14"/>
        <v>14400</v>
      </c>
    </row>
    <row r="302" spans="1:15" x14ac:dyDescent="0.25">
      <c r="A302" s="31">
        <v>41466</v>
      </c>
      <c r="B302" t="s">
        <v>39</v>
      </c>
      <c r="C302" s="30">
        <v>4</v>
      </c>
      <c r="D302" s="30" t="s">
        <v>38</v>
      </c>
      <c r="E302" s="30">
        <v>11</v>
      </c>
      <c r="F302" t="str">
        <f>VLOOKUP(C302,Products!$A$2:$H$16,2,FALSE)</f>
        <v>A Guide to Health</v>
      </c>
      <c r="G302" t="str">
        <f>VLOOKUP(C302,Products!$A$2:$H$16,3,FALSE)</f>
        <v>Mahatma Gandhi</v>
      </c>
      <c r="H302" t="str">
        <f>VLOOKUP(C302,Products!$A$2:$H$16,4,FALSE)</f>
        <v>Hard Cover</v>
      </c>
      <c r="I302">
        <f>VLOOKUP(C302,Products!$A$2:$H$16,5,FALSE)</f>
        <v>1921</v>
      </c>
      <c r="J302" s="29">
        <f>VLOOKUP(C302,Products!$A$2:$H$16,6,FALSE)</f>
        <v>250</v>
      </c>
      <c r="K302" s="32">
        <f>VLOOKUP(C302,Products!$A$2:$H$16,7,FALSE)</f>
        <v>0.15</v>
      </c>
      <c r="L302" s="29">
        <f>VLOOKUP(C302,Products!$A$2:$H$16,8,FALSE)</f>
        <v>287.5</v>
      </c>
      <c r="M302" s="41">
        <f t="shared" si="12"/>
        <v>7</v>
      </c>
      <c r="N302" s="43">
        <f t="shared" si="13"/>
        <v>3162.5</v>
      </c>
      <c r="O302" s="43">
        <f t="shared" si="14"/>
        <v>2750</v>
      </c>
    </row>
    <row r="303" spans="1:15" x14ac:dyDescent="0.25">
      <c r="A303" s="31">
        <v>41466</v>
      </c>
      <c r="B303" t="s">
        <v>36</v>
      </c>
      <c r="C303" s="30">
        <v>5</v>
      </c>
      <c r="D303" s="30" t="s">
        <v>34</v>
      </c>
      <c r="E303" s="30">
        <v>6</v>
      </c>
      <c r="F303" t="str">
        <f>VLOOKUP(C303,Products!$A$2:$H$16,2,FALSE)</f>
        <v>Wings of Fire</v>
      </c>
      <c r="G303" t="str">
        <f>VLOOKUP(C303,Products!$A$2:$H$16,3,FALSE)</f>
        <v>APJ Abdul Kalam,
Arun Tiwari</v>
      </c>
      <c r="H303" t="str">
        <f>VLOOKUP(C303,Products!$A$2:$H$16,4,FALSE)</f>
        <v>Hard Cover</v>
      </c>
      <c r="I303">
        <f>VLOOKUP(C303,Products!$A$2:$H$16,5,FALSE)</f>
        <v>1999</v>
      </c>
      <c r="J303" s="29">
        <f>VLOOKUP(C303,Products!$A$2:$H$16,6,FALSE)</f>
        <v>1275.2488000000001</v>
      </c>
      <c r="K303" s="32">
        <f>VLOOKUP(C303,Products!$A$2:$H$16,7,FALSE)</f>
        <v>0.1</v>
      </c>
      <c r="L303" s="29">
        <f>VLOOKUP(C303,Products!$A$2:$H$16,8,FALSE)</f>
        <v>1402.77368</v>
      </c>
      <c r="M303" s="41">
        <f t="shared" si="12"/>
        <v>7</v>
      </c>
      <c r="N303" s="43">
        <f t="shared" si="13"/>
        <v>8416.6420799999996</v>
      </c>
      <c r="O303" s="43">
        <f t="shared" si="14"/>
        <v>7651.4928</v>
      </c>
    </row>
    <row r="304" spans="1:15" x14ac:dyDescent="0.25">
      <c r="A304" s="31">
        <v>41466</v>
      </c>
      <c r="B304" t="s">
        <v>40</v>
      </c>
      <c r="C304" s="30">
        <v>15</v>
      </c>
      <c r="D304" s="30" t="s">
        <v>34</v>
      </c>
      <c r="E304" s="30">
        <v>17</v>
      </c>
      <c r="F304" t="str">
        <f>VLOOKUP(C304,Products!$A$2:$H$16,2,FALSE)</f>
        <v>Wings of Fire</v>
      </c>
      <c r="G304" t="str">
        <f>VLOOKUP(C304,Products!$A$2:$H$16,3,FALSE)</f>
        <v>APJ Abdul Kalam,
Arun Tiwari</v>
      </c>
      <c r="H304" t="str">
        <f>VLOOKUP(C304,Products!$A$2:$H$16,4,FALSE)</f>
        <v>e-book</v>
      </c>
      <c r="I304">
        <f>VLOOKUP(C304,Products!$A$2:$H$16,5,FALSE)</f>
        <v>2005</v>
      </c>
      <c r="J304" s="29">
        <f>VLOOKUP(C304,Products!$A$2:$H$16,6,FALSE)</f>
        <v>500</v>
      </c>
      <c r="K304" s="32">
        <f>VLOOKUP(C304,Products!$A$2:$H$16,7,FALSE)</f>
        <v>0.1</v>
      </c>
      <c r="L304" s="29">
        <f>VLOOKUP(C304,Products!$A$2:$H$16,8,FALSE)</f>
        <v>550</v>
      </c>
      <c r="M304" s="41">
        <f t="shared" si="12"/>
        <v>7</v>
      </c>
      <c r="N304" s="43">
        <f t="shared" si="13"/>
        <v>9350</v>
      </c>
      <c r="O304" s="43">
        <f t="shared" si="14"/>
        <v>8500</v>
      </c>
    </row>
    <row r="305" spans="1:15" x14ac:dyDescent="0.25">
      <c r="A305" s="31">
        <v>41466</v>
      </c>
      <c r="B305" t="s">
        <v>37</v>
      </c>
      <c r="C305" s="30">
        <v>2</v>
      </c>
      <c r="D305" s="30" t="s">
        <v>34</v>
      </c>
      <c r="E305" s="30">
        <v>19</v>
      </c>
      <c r="F305" t="str">
        <f>VLOOKUP(C305,Products!$A$2:$H$16,2,FALSE)</f>
        <v>The Story of my Experiments with Truth</v>
      </c>
      <c r="G305" t="str">
        <f>VLOOKUP(C305,Products!$A$2:$H$16,3,FALSE)</f>
        <v>Mahatma Gandhi</v>
      </c>
      <c r="H305" t="str">
        <f>VLOOKUP(C305,Products!$A$2:$H$16,4,FALSE)</f>
        <v>Hard Cover</v>
      </c>
      <c r="I305">
        <f>VLOOKUP(C305,Products!$A$2:$H$16,5,FALSE)</f>
        <v>1927</v>
      </c>
      <c r="J305" s="29">
        <f>VLOOKUP(C305,Products!$A$2:$H$16,6,FALSE)</f>
        <v>159</v>
      </c>
      <c r="K305" s="32">
        <f>VLOOKUP(C305,Products!$A$2:$H$16,7,FALSE)</f>
        <v>0.3</v>
      </c>
      <c r="L305" s="29">
        <f>VLOOKUP(C305,Products!$A$2:$H$16,8,FALSE)</f>
        <v>206.7</v>
      </c>
      <c r="M305" s="41">
        <f t="shared" si="12"/>
        <v>7</v>
      </c>
      <c r="N305" s="43">
        <f t="shared" si="13"/>
        <v>3927.2999999999997</v>
      </c>
      <c r="O305" s="43">
        <f t="shared" si="14"/>
        <v>3021</v>
      </c>
    </row>
    <row r="306" spans="1:15" x14ac:dyDescent="0.25">
      <c r="A306" s="31">
        <v>41469</v>
      </c>
      <c r="B306" t="s">
        <v>36</v>
      </c>
      <c r="C306" s="30">
        <v>9</v>
      </c>
      <c r="D306" s="30" t="s">
        <v>38</v>
      </c>
      <c r="E306" s="30">
        <v>4</v>
      </c>
      <c r="F306" t="str">
        <f>VLOOKUP(C306,Products!$A$2:$H$16,2,FALSE)</f>
        <v>A Guide to Health</v>
      </c>
      <c r="G306" t="str">
        <f>VLOOKUP(C306,Products!$A$2:$H$16,3,FALSE)</f>
        <v>Mahatma Gandhi</v>
      </c>
      <c r="H306" t="str">
        <f>VLOOKUP(C306,Products!$A$2:$H$16,4,FALSE)</f>
        <v>Soft Cover</v>
      </c>
      <c r="I306">
        <f>VLOOKUP(C306,Products!$A$2:$H$16,5,FALSE)</f>
        <v>1921</v>
      </c>
      <c r="J306" s="29">
        <f>VLOOKUP(C306,Products!$A$2:$H$16,6,FALSE)</f>
        <v>220</v>
      </c>
      <c r="K306" s="32">
        <f>VLOOKUP(C306,Products!$A$2:$H$16,7,FALSE)</f>
        <v>0.15</v>
      </c>
      <c r="L306" s="29">
        <f>VLOOKUP(C306,Products!$A$2:$H$16,8,FALSE)</f>
        <v>253</v>
      </c>
      <c r="M306" s="41">
        <f t="shared" si="12"/>
        <v>7</v>
      </c>
      <c r="N306" s="43">
        <f t="shared" si="13"/>
        <v>1012</v>
      </c>
      <c r="O306" s="43">
        <f t="shared" si="14"/>
        <v>880</v>
      </c>
    </row>
    <row r="307" spans="1:15" x14ac:dyDescent="0.25">
      <c r="A307" s="31">
        <v>41469</v>
      </c>
      <c r="B307" t="s">
        <v>36</v>
      </c>
      <c r="C307" s="30">
        <v>11</v>
      </c>
      <c r="D307" s="30" t="s">
        <v>34</v>
      </c>
      <c r="E307" s="30">
        <v>4</v>
      </c>
      <c r="F307" t="str">
        <f>VLOOKUP(C307,Products!$A$2:$H$16,2,FALSE)</f>
        <v>The Discovery of India</v>
      </c>
      <c r="G307" t="str">
        <f>VLOOKUP(C307,Products!$A$2:$H$16,3,FALSE)</f>
        <v>Jawaharlal Nehru</v>
      </c>
      <c r="H307" t="str">
        <f>VLOOKUP(C307,Products!$A$2:$H$16,4,FALSE)</f>
        <v>e-book</v>
      </c>
      <c r="I307">
        <f>VLOOKUP(C307,Products!$A$2:$H$16,5,FALSE)</f>
        <v>2004</v>
      </c>
      <c r="J307" s="29">
        <f>VLOOKUP(C307,Products!$A$2:$H$16,6,FALSE)</f>
        <v>250</v>
      </c>
      <c r="K307" s="32">
        <f>VLOOKUP(C307,Products!$A$2:$H$16,7,FALSE)</f>
        <v>0.3</v>
      </c>
      <c r="L307" s="29">
        <f>VLOOKUP(C307,Products!$A$2:$H$16,8,FALSE)</f>
        <v>325</v>
      </c>
      <c r="M307" s="41">
        <f t="shared" si="12"/>
        <v>7</v>
      </c>
      <c r="N307" s="43">
        <f t="shared" si="13"/>
        <v>1300</v>
      </c>
      <c r="O307" s="43">
        <f t="shared" si="14"/>
        <v>1000</v>
      </c>
    </row>
    <row r="308" spans="1:15" x14ac:dyDescent="0.25">
      <c r="A308" s="31">
        <v>41469</v>
      </c>
      <c r="B308" t="s">
        <v>33</v>
      </c>
      <c r="C308" s="30">
        <v>5</v>
      </c>
      <c r="D308" s="30" t="s">
        <v>38</v>
      </c>
      <c r="E308" s="30">
        <v>11</v>
      </c>
      <c r="F308" t="str">
        <f>VLOOKUP(C308,Products!$A$2:$H$16,2,FALSE)</f>
        <v>Wings of Fire</v>
      </c>
      <c r="G308" t="str">
        <f>VLOOKUP(C308,Products!$A$2:$H$16,3,FALSE)</f>
        <v>APJ Abdul Kalam,
Arun Tiwari</v>
      </c>
      <c r="H308" t="str">
        <f>VLOOKUP(C308,Products!$A$2:$H$16,4,FALSE)</f>
        <v>Hard Cover</v>
      </c>
      <c r="I308">
        <f>VLOOKUP(C308,Products!$A$2:$H$16,5,FALSE)</f>
        <v>1999</v>
      </c>
      <c r="J308" s="29">
        <f>VLOOKUP(C308,Products!$A$2:$H$16,6,FALSE)</f>
        <v>1275.2488000000001</v>
      </c>
      <c r="K308" s="32">
        <f>VLOOKUP(C308,Products!$A$2:$H$16,7,FALSE)</f>
        <v>0.1</v>
      </c>
      <c r="L308" s="29">
        <f>VLOOKUP(C308,Products!$A$2:$H$16,8,FALSE)</f>
        <v>1402.77368</v>
      </c>
      <c r="M308" s="41">
        <f t="shared" si="12"/>
        <v>7</v>
      </c>
      <c r="N308" s="43">
        <f t="shared" si="13"/>
        <v>15430.510480000001</v>
      </c>
      <c r="O308" s="43">
        <f t="shared" si="14"/>
        <v>14027.736800000001</v>
      </c>
    </row>
    <row r="309" spans="1:15" x14ac:dyDescent="0.25">
      <c r="A309" s="31">
        <v>41470</v>
      </c>
      <c r="B309" t="s">
        <v>39</v>
      </c>
      <c r="C309" s="30">
        <v>5</v>
      </c>
      <c r="D309" s="30" t="s">
        <v>38</v>
      </c>
      <c r="E309" s="30">
        <v>11</v>
      </c>
      <c r="F309" t="str">
        <f>VLOOKUP(C309,Products!$A$2:$H$16,2,FALSE)</f>
        <v>Wings of Fire</v>
      </c>
      <c r="G309" t="str">
        <f>VLOOKUP(C309,Products!$A$2:$H$16,3,FALSE)</f>
        <v>APJ Abdul Kalam,
Arun Tiwari</v>
      </c>
      <c r="H309" t="str">
        <f>VLOOKUP(C309,Products!$A$2:$H$16,4,FALSE)</f>
        <v>Hard Cover</v>
      </c>
      <c r="I309">
        <f>VLOOKUP(C309,Products!$A$2:$H$16,5,FALSE)</f>
        <v>1999</v>
      </c>
      <c r="J309" s="29">
        <f>VLOOKUP(C309,Products!$A$2:$H$16,6,FALSE)</f>
        <v>1275.2488000000001</v>
      </c>
      <c r="K309" s="32">
        <f>VLOOKUP(C309,Products!$A$2:$H$16,7,FALSE)</f>
        <v>0.1</v>
      </c>
      <c r="L309" s="29">
        <f>VLOOKUP(C309,Products!$A$2:$H$16,8,FALSE)</f>
        <v>1402.77368</v>
      </c>
      <c r="M309" s="41">
        <f t="shared" si="12"/>
        <v>7</v>
      </c>
      <c r="N309" s="43">
        <f t="shared" si="13"/>
        <v>15430.510480000001</v>
      </c>
      <c r="O309" s="43">
        <f t="shared" si="14"/>
        <v>14027.736800000001</v>
      </c>
    </row>
    <row r="310" spans="1:15" x14ac:dyDescent="0.25">
      <c r="A310" s="31">
        <v>41472</v>
      </c>
      <c r="B310" t="s">
        <v>39</v>
      </c>
      <c r="C310" s="30">
        <v>15</v>
      </c>
      <c r="D310" s="30" t="s">
        <v>38</v>
      </c>
      <c r="E310" s="30">
        <v>13</v>
      </c>
      <c r="F310" t="str">
        <f>VLOOKUP(C310,Products!$A$2:$H$16,2,FALSE)</f>
        <v>Wings of Fire</v>
      </c>
      <c r="G310" t="str">
        <f>VLOOKUP(C310,Products!$A$2:$H$16,3,FALSE)</f>
        <v>APJ Abdul Kalam,
Arun Tiwari</v>
      </c>
      <c r="H310" t="str">
        <f>VLOOKUP(C310,Products!$A$2:$H$16,4,FALSE)</f>
        <v>e-book</v>
      </c>
      <c r="I310">
        <f>VLOOKUP(C310,Products!$A$2:$H$16,5,FALSE)</f>
        <v>2005</v>
      </c>
      <c r="J310" s="29">
        <f>VLOOKUP(C310,Products!$A$2:$H$16,6,FALSE)</f>
        <v>500</v>
      </c>
      <c r="K310" s="32">
        <f>VLOOKUP(C310,Products!$A$2:$H$16,7,FALSE)</f>
        <v>0.1</v>
      </c>
      <c r="L310" s="29">
        <f>VLOOKUP(C310,Products!$A$2:$H$16,8,FALSE)</f>
        <v>550</v>
      </c>
      <c r="M310" s="41">
        <f t="shared" si="12"/>
        <v>7</v>
      </c>
      <c r="N310" s="43">
        <f t="shared" si="13"/>
        <v>7150</v>
      </c>
      <c r="O310" s="43">
        <f t="shared" si="14"/>
        <v>6500</v>
      </c>
    </row>
    <row r="311" spans="1:15" x14ac:dyDescent="0.25">
      <c r="A311" s="31">
        <v>41473</v>
      </c>
      <c r="B311" t="s">
        <v>39</v>
      </c>
      <c r="C311" s="30">
        <v>11</v>
      </c>
      <c r="D311" s="30" t="s">
        <v>34</v>
      </c>
      <c r="E311" s="30">
        <v>6</v>
      </c>
      <c r="F311" t="str">
        <f>VLOOKUP(C311,Products!$A$2:$H$16,2,FALSE)</f>
        <v>The Discovery of India</v>
      </c>
      <c r="G311" t="str">
        <f>VLOOKUP(C311,Products!$A$2:$H$16,3,FALSE)</f>
        <v>Jawaharlal Nehru</v>
      </c>
      <c r="H311" t="str">
        <f>VLOOKUP(C311,Products!$A$2:$H$16,4,FALSE)</f>
        <v>e-book</v>
      </c>
      <c r="I311">
        <f>VLOOKUP(C311,Products!$A$2:$H$16,5,FALSE)</f>
        <v>2004</v>
      </c>
      <c r="J311" s="29">
        <f>VLOOKUP(C311,Products!$A$2:$H$16,6,FALSE)</f>
        <v>250</v>
      </c>
      <c r="K311" s="32">
        <f>VLOOKUP(C311,Products!$A$2:$H$16,7,FALSE)</f>
        <v>0.3</v>
      </c>
      <c r="L311" s="29">
        <f>VLOOKUP(C311,Products!$A$2:$H$16,8,FALSE)</f>
        <v>325</v>
      </c>
      <c r="M311" s="41">
        <f t="shared" si="12"/>
        <v>7</v>
      </c>
      <c r="N311" s="43">
        <f t="shared" si="13"/>
        <v>1950</v>
      </c>
      <c r="O311" s="43">
        <f t="shared" si="14"/>
        <v>1500</v>
      </c>
    </row>
    <row r="312" spans="1:15" x14ac:dyDescent="0.25">
      <c r="A312" s="31">
        <v>41474</v>
      </c>
      <c r="B312" t="s">
        <v>42</v>
      </c>
      <c r="C312" s="30">
        <v>14</v>
      </c>
      <c r="D312" s="30" t="s">
        <v>38</v>
      </c>
      <c r="E312" s="30">
        <v>12</v>
      </c>
      <c r="F312" t="str">
        <f>VLOOKUP(C312,Products!$A$2:$H$16,2,FALSE)</f>
        <v>A Guide to Health</v>
      </c>
      <c r="G312" t="str">
        <f>VLOOKUP(C312,Products!$A$2:$H$16,3,FALSE)</f>
        <v>Mahatma Gandhi</v>
      </c>
      <c r="H312" t="str">
        <f>VLOOKUP(C312,Products!$A$2:$H$16,4,FALSE)</f>
        <v>e-book</v>
      </c>
      <c r="I312">
        <f>VLOOKUP(C312,Products!$A$2:$H$16,5,FALSE)</f>
        <v>2005</v>
      </c>
      <c r="J312" s="29">
        <f>VLOOKUP(C312,Products!$A$2:$H$16,6,FALSE)</f>
        <v>105</v>
      </c>
      <c r="K312" s="32">
        <f>VLOOKUP(C312,Products!$A$2:$H$16,7,FALSE)</f>
        <v>0.15</v>
      </c>
      <c r="L312" s="29">
        <f>VLOOKUP(C312,Products!$A$2:$H$16,8,FALSE)</f>
        <v>120.75</v>
      </c>
      <c r="M312" s="41">
        <f t="shared" si="12"/>
        <v>7</v>
      </c>
      <c r="N312" s="43">
        <f t="shared" si="13"/>
        <v>1449</v>
      </c>
      <c r="O312" s="43">
        <f t="shared" si="14"/>
        <v>1260</v>
      </c>
    </row>
    <row r="313" spans="1:15" x14ac:dyDescent="0.25">
      <c r="A313" s="31">
        <v>41474</v>
      </c>
      <c r="B313" t="s">
        <v>33</v>
      </c>
      <c r="C313" s="30">
        <v>15</v>
      </c>
      <c r="D313" s="30" t="s">
        <v>38</v>
      </c>
      <c r="E313" s="30">
        <v>8</v>
      </c>
      <c r="F313" t="str">
        <f>VLOOKUP(C313,Products!$A$2:$H$16,2,FALSE)</f>
        <v>Wings of Fire</v>
      </c>
      <c r="G313" t="str">
        <f>VLOOKUP(C313,Products!$A$2:$H$16,3,FALSE)</f>
        <v>APJ Abdul Kalam,
Arun Tiwari</v>
      </c>
      <c r="H313" t="str">
        <f>VLOOKUP(C313,Products!$A$2:$H$16,4,FALSE)</f>
        <v>e-book</v>
      </c>
      <c r="I313">
        <f>VLOOKUP(C313,Products!$A$2:$H$16,5,FALSE)</f>
        <v>2005</v>
      </c>
      <c r="J313" s="29">
        <f>VLOOKUP(C313,Products!$A$2:$H$16,6,FALSE)</f>
        <v>500</v>
      </c>
      <c r="K313" s="32">
        <f>VLOOKUP(C313,Products!$A$2:$H$16,7,FALSE)</f>
        <v>0.1</v>
      </c>
      <c r="L313" s="29">
        <f>VLOOKUP(C313,Products!$A$2:$H$16,8,FALSE)</f>
        <v>550</v>
      </c>
      <c r="M313" s="41">
        <f t="shared" si="12"/>
        <v>7</v>
      </c>
      <c r="N313" s="43">
        <f t="shared" si="13"/>
        <v>4400</v>
      </c>
      <c r="O313" s="43">
        <f t="shared" si="14"/>
        <v>4000</v>
      </c>
    </row>
    <row r="314" spans="1:15" x14ac:dyDescent="0.25">
      <c r="A314" s="31">
        <v>41475</v>
      </c>
      <c r="B314" t="s">
        <v>40</v>
      </c>
      <c r="C314" s="30">
        <v>9</v>
      </c>
      <c r="D314" s="30" t="s">
        <v>38</v>
      </c>
      <c r="E314" s="30">
        <v>18</v>
      </c>
      <c r="F314" t="str">
        <f>VLOOKUP(C314,Products!$A$2:$H$16,2,FALSE)</f>
        <v>A Guide to Health</v>
      </c>
      <c r="G314" t="str">
        <f>VLOOKUP(C314,Products!$A$2:$H$16,3,FALSE)</f>
        <v>Mahatma Gandhi</v>
      </c>
      <c r="H314" t="str">
        <f>VLOOKUP(C314,Products!$A$2:$H$16,4,FALSE)</f>
        <v>Soft Cover</v>
      </c>
      <c r="I314">
        <f>VLOOKUP(C314,Products!$A$2:$H$16,5,FALSE)</f>
        <v>1921</v>
      </c>
      <c r="J314" s="29">
        <f>VLOOKUP(C314,Products!$A$2:$H$16,6,FALSE)</f>
        <v>220</v>
      </c>
      <c r="K314" s="32">
        <f>VLOOKUP(C314,Products!$A$2:$H$16,7,FALSE)</f>
        <v>0.15</v>
      </c>
      <c r="L314" s="29">
        <f>VLOOKUP(C314,Products!$A$2:$H$16,8,FALSE)</f>
        <v>253</v>
      </c>
      <c r="M314" s="41">
        <f t="shared" si="12"/>
        <v>7</v>
      </c>
      <c r="N314" s="43">
        <f t="shared" si="13"/>
        <v>4554</v>
      </c>
      <c r="O314" s="43">
        <f t="shared" si="14"/>
        <v>3960</v>
      </c>
    </row>
    <row r="315" spans="1:15" x14ac:dyDescent="0.25">
      <c r="A315" s="31">
        <v>41475</v>
      </c>
      <c r="B315" t="s">
        <v>37</v>
      </c>
      <c r="C315" s="30">
        <v>3</v>
      </c>
      <c r="D315" s="30" t="s">
        <v>38</v>
      </c>
      <c r="E315" s="30">
        <v>16</v>
      </c>
      <c r="F315" t="str">
        <f>VLOOKUP(C315,Products!$A$2:$H$16,2,FALSE)</f>
        <v>Glimpses of World History</v>
      </c>
      <c r="G315" t="str">
        <f>VLOOKUP(C315,Products!$A$2:$H$16,3,FALSE)</f>
        <v>Jawaharlal Nehru</v>
      </c>
      <c r="H315" t="str">
        <f>VLOOKUP(C315,Products!$A$2:$H$16,4,FALSE)</f>
        <v>Hard Cover</v>
      </c>
      <c r="I315">
        <f>VLOOKUP(C315,Products!$A$2:$H$16,5,FALSE)</f>
        <v>1934</v>
      </c>
      <c r="J315" s="29">
        <f>VLOOKUP(C315,Products!$A$2:$H$16,6,FALSE)</f>
        <v>750.45899999999995</v>
      </c>
      <c r="K315" s="32">
        <f>VLOOKUP(C315,Products!$A$2:$H$16,7,FALSE)</f>
        <v>0.2</v>
      </c>
      <c r="L315" s="29">
        <f>VLOOKUP(C315,Products!$A$2:$H$16,8,FALSE)</f>
        <v>900.55079999999998</v>
      </c>
      <c r="M315" s="41">
        <f t="shared" si="12"/>
        <v>7</v>
      </c>
      <c r="N315" s="43">
        <f t="shared" si="13"/>
        <v>14408.8128</v>
      </c>
      <c r="O315" s="43">
        <f t="shared" si="14"/>
        <v>12007.343999999999</v>
      </c>
    </row>
    <row r="316" spans="1:15" x14ac:dyDescent="0.25">
      <c r="A316" s="31">
        <v>41475</v>
      </c>
      <c r="B316" t="s">
        <v>42</v>
      </c>
      <c r="C316" s="30">
        <v>6</v>
      </c>
      <c r="D316" s="30" t="s">
        <v>34</v>
      </c>
      <c r="E316" s="30">
        <v>7</v>
      </c>
      <c r="F316" t="str">
        <f>VLOOKUP(C316,Products!$A$2:$H$16,2,FALSE)</f>
        <v>The Discovery of India</v>
      </c>
      <c r="G316" t="str">
        <f>VLOOKUP(C316,Products!$A$2:$H$16,3,FALSE)</f>
        <v>Jawaharlal Nehru</v>
      </c>
      <c r="H316" t="str">
        <f>VLOOKUP(C316,Products!$A$2:$H$16,4,FALSE)</f>
        <v>Soft Cover</v>
      </c>
      <c r="I316">
        <f>VLOOKUP(C316,Products!$A$2:$H$16,5,FALSE)</f>
        <v>1946</v>
      </c>
      <c r="J316" s="29">
        <f>VLOOKUP(C316,Products!$A$2:$H$16,6,FALSE)</f>
        <v>499</v>
      </c>
      <c r="K316" s="32">
        <f>VLOOKUP(C316,Products!$A$2:$H$16,7,FALSE)</f>
        <v>0.3</v>
      </c>
      <c r="L316" s="29">
        <f>VLOOKUP(C316,Products!$A$2:$H$16,8,FALSE)</f>
        <v>648.70000000000005</v>
      </c>
      <c r="M316" s="41">
        <f t="shared" si="12"/>
        <v>7</v>
      </c>
      <c r="N316" s="43">
        <f t="shared" si="13"/>
        <v>4540.9000000000005</v>
      </c>
      <c r="O316" s="43">
        <f t="shared" si="14"/>
        <v>3493</v>
      </c>
    </row>
    <row r="317" spans="1:15" x14ac:dyDescent="0.25">
      <c r="A317" s="31">
        <v>41475</v>
      </c>
      <c r="B317" t="s">
        <v>33</v>
      </c>
      <c r="C317" s="30">
        <v>14</v>
      </c>
      <c r="D317" s="30" t="s">
        <v>34</v>
      </c>
      <c r="E317" s="30">
        <v>18</v>
      </c>
      <c r="F317" t="str">
        <f>VLOOKUP(C317,Products!$A$2:$H$16,2,FALSE)</f>
        <v>A Guide to Health</v>
      </c>
      <c r="G317" t="str">
        <f>VLOOKUP(C317,Products!$A$2:$H$16,3,FALSE)</f>
        <v>Mahatma Gandhi</v>
      </c>
      <c r="H317" t="str">
        <f>VLOOKUP(C317,Products!$A$2:$H$16,4,FALSE)</f>
        <v>e-book</v>
      </c>
      <c r="I317">
        <f>VLOOKUP(C317,Products!$A$2:$H$16,5,FALSE)</f>
        <v>2005</v>
      </c>
      <c r="J317" s="29">
        <f>VLOOKUP(C317,Products!$A$2:$H$16,6,FALSE)</f>
        <v>105</v>
      </c>
      <c r="K317" s="32">
        <f>VLOOKUP(C317,Products!$A$2:$H$16,7,FALSE)</f>
        <v>0.15</v>
      </c>
      <c r="L317" s="29">
        <f>VLOOKUP(C317,Products!$A$2:$H$16,8,FALSE)</f>
        <v>120.75</v>
      </c>
      <c r="M317" s="41">
        <f t="shared" si="12"/>
        <v>7</v>
      </c>
      <c r="N317" s="43">
        <f t="shared" si="13"/>
        <v>2173.5</v>
      </c>
      <c r="O317" s="43">
        <f t="shared" si="14"/>
        <v>1890</v>
      </c>
    </row>
    <row r="318" spans="1:15" x14ac:dyDescent="0.25">
      <c r="A318" s="31">
        <v>41476</v>
      </c>
      <c r="B318" t="s">
        <v>40</v>
      </c>
      <c r="C318" s="30">
        <v>9</v>
      </c>
      <c r="D318" s="30" t="s">
        <v>38</v>
      </c>
      <c r="E318" s="30">
        <v>1</v>
      </c>
      <c r="F318" t="str">
        <f>VLOOKUP(C318,Products!$A$2:$H$16,2,FALSE)</f>
        <v>A Guide to Health</v>
      </c>
      <c r="G318" t="str">
        <f>VLOOKUP(C318,Products!$A$2:$H$16,3,FALSE)</f>
        <v>Mahatma Gandhi</v>
      </c>
      <c r="H318" t="str">
        <f>VLOOKUP(C318,Products!$A$2:$H$16,4,FALSE)</f>
        <v>Soft Cover</v>
      </c>
      <c r="I318">
        <f>VLOOKUP(C318,Products!$A$2:$H$16,5,FALSE)</f>
        <v>1921</v>
      </c>
      <c r="J318" s="29">
        <f>VLOOKUP(C318,Products!$A$2:$H$16,6,FALSE)</f>
        <v>220</v>
      </c>
      <c r="K318" s="32">
        <f>VLOOKUP(C318,Products!$A$2:$H$16,7,FALSE)</f>
        <v>0.15</v>
      </c>
      <c r="L318" s="29">
        <f>VLOOKUP(C318,Products!$A$2:$H$16,8,FALSE)</f>
        <v>253</v>
      </c>
      <c r="M318" s="41">
        <f t="shared" si="12"/>
        <v>7</v>
      </c>
      <c r="N318" s="43">
        <f t="shared" si="13"/>
        <v>253</v>
      </c>
      <c r="O318" s="43">
        <f t="shared" si="14"/>
        <v>220</v>
      </c>
    </row>
    <row r="319" spans="1:15" x14ac:dyDescent="0.25">
      <c r="A319" s="31">
        <v>41476</v>
      </c>
      <c r="B319" t="s">
        <v>40</v>
      </c>
      <c r="C319" s="30">
        <v>4</v>
      </c>
      <c r="D319" s="30" t="s">
        <v>34</v>
      </c>
      <c r="E319" s="30">
        <v>7</v>
      </c>
      <c r="F319" t="str">
        <f>VLOOKUP(C319,Products!$A$2:$H$16,2,FALSE)</f>
        <v>A Guide to Health</v>
      </c>
      <c r="G319" t="str">
        <f>VLOOKUP(C319,Products!$A$2:$H$16,3,FALSE)</f>
        <v>Mahatma Gandhi</v>
      </c>
      <c r="H319" t="str">
        <f>VLOOKUP(C319,Products!$A$2:$H$16,4,FALSE)</f>
        <v>Hard Cover</v>
      </c>
      <c r="I319">
        <f>VLOOKUP(C319,Products!$A$2:$H$16,5,FALSE)</f>
        <v>1921</v>
      </c>
      <c r="J319" s="29">
        <f>VLOOKUP(C319,Products!$A$2:$H$16,6,FALSE)</f>
        <v>250</v>
      </c>
      <c r="K319" s="32">
        <f>VLOOKUP(C319,Products!$A$2:$H$16,7,FALSE)</f>
        <v>0.15</v>
      </c>
      <c r="L319" s="29">
        <f>VLOOKUP(C319,Products!$A$2:$H$16,8,FALSE)</f>
        <v>287.5</v>
      </c>
      <c r="M319" s="41">
        <f t="shared" si="12"/>
        <v>7</v>
      </c>
      <c r="N319" s="43">
        <f t="shared" si="13"/>
        <v>2012.5</v>
      </c>
      <c r="O319" s="43">
        <f t="shared" si="14"/>
        <v>1750</v>
      </c>
    </row>
    <row r="320" spans="1:15" x14ac:dyDescent="0.25">
      <c r="A320" s="31">
        <v>41476</v>
      </c>
      <c r="B320" t="s">
        <v>37</v>
      </c>
      <c r="C320" s="30">
        <v>11</v>
      </c>
      <c r="D320" s="30" t="s">
        <v>34</v>
      </c>
      <c r="E320" s="30">
        <v>7</v>
      </c>
      <c r="F320" t="str">
        <f>VLOOKUP(C320,Products!$A$2:$H$16,2,FALSE)</f>
        <v>The Discovery of India</v>
      </c>
      <c r="G320" t="str">
        <f>VLOOKUP(C320,Products!$A$2:$H$16,3,FALSE)</f>
        <v>Jawaharlal Nehru</v>
      </c>
      <c r="H320" t="str">
        <f>VLOOKUP(C320,Products!$A$2:$H$16,4,FALSE)</f>
        <v>e-book</v>
      </c>
      <c r="I320">
        <f>VLOOKUP(C320,Products!$A$2:$H$16,5,FALSE)</f>
        <v>2004</v>
      </c>
      <c r="J320" s="29">
        <f>VLOOKUP(C320,Products!$A$2:$H$16,6,FALSE)</f>
        <v>250</v>
      </c>
      <c r="K320" s="32">
        <f>VLOOKUP(C320,Products!$A$2:$H$16,7,FALSE)</f>
        <v>0.3</v>
      </c>
      <c r="L320" s="29">
        <f>VLOOKUP(C320,Products!$A$2:$H$16,8,FALSE)</f>
        <v>325</v>
      </c>
      <c r="M320" s="41">
        <f t="shared" si="12"/>
        <v>7</v>
      </c>
      <c r="N320" s="43">
        <f t="shared" si="13"/>
        <v>2275</v>
      </c>
      <c r="O320" s="43">
        <f t="shared" si="14"/>
        <v>1750</v>
      </c>
    </row>
    <row r="321" spans="1:15" x14ac:dyDescent="0.25">
      <c r="A321" s="31">
        <v>41476</v>
      </c>
      <c r="B321" t="s">
        <v>35</v>
      </c>
      <c r="C321" s="30">
        <v>1</v>
      </c>
      <c r="D321" s="30" t="s">
        <v>34</v>
      </c>
      <c r="E321" s="30">
        <v>6</v>
      </c>
      <c r="F321" t="str">
        <f>VLOOKUP(C321,Products!$A$2:$H$16,2,FALSE)</f>
        <v>The Discovery of India</v>
      </c>
      <c r="G321" t="str">
        <f>VLOOKUP(C321,Products!$A$2:$H$16,3,FALSE)</f>
        <v>Jawaharlal Nehru</v>
      </c>
      <c r="H321" t="str">
        <f>VLOOKUP(C321,Products!$A$2:$H$16,4,FALSE)</f>
        <v>Hard Cover</v>
      </c>
      <c r="I321">
        <f>VLOOKUP(C321,Products!$A$2:$H$16,5,FALSE)</f>
        <v>1946</v>
      </c>
      <c r="J321" s="29">
        <f>VLOOKUP(C321,Products!$A$2:$H$16,6,FALSE)</f>
        <v>599.95000000000005</v>
      </c>
      <c r="K321" s="32">
        <f>VLOOKUP(C321,Products!$A$2:$H$16,7,FALSE)</f>
        <v>0.3</v>
      </c>
      <c r="L321" s="29">
        <f>VLOOKUP(C321,Products!$A$2:$H$16,8,FALSE)</f>
        <v>779.93500000000006</v>
      </c>
      <c r="M321" s="41">
        <f t="shared" si="12"/>
        <v>7</v>
      </c>
      <c r="N321" s="43">
        <f t="shared" si="13"/>
        <v>4679.6100000000006</v>
      </c>
      <c r="O321" s="43">
        <f t="shared" si="14"/>
        <v>3599.7000000000003</v>
      </c>
    </row>
    <row r="322" spans="1:15" x14ac:dyDescent="0.25">
      <c r="A322" s="31">
        <v>41478</v>
      </c>
      <c r="B322" t="s">
        <v>33</v>
      </c>
      <c r="C322" s="30">
        <v>2</v>
      </c>
      <c r="D322" s="30" t="s">
        <v>38</v>
      </c>
      <c r="E322" s="30">
        <v>7</v>
      </c>
      <c r="F322" t="str">
        <f>VLOOKUP(C322,Products!$A$2:$H$16,2,FALSE)</f>
        <v>The Story of my Experiments with Truth</v>
      </c>
      <c r="G322" t="str">
        <f>VLOOKUP(C322,Products!$A$2:$H$16,3,FALSE)</f>
        <v>Mahatma Gandhi</v>
      </c>
      <c r="H322" t="str">
        <f>VLOOKUP(C322,Products!$A$2:$H$16,4,FALSE)</f>
        <v>Hard Cover</v>
      </c>
      <c r="I322">
        <f>VLOOKUP(C322,Products!$A$2:$H$16,5,FALSE)</f>
        <v>1927</v>
      </c>
      <c r="J322" s="29">
        <f>VLOOKUP(C322,Products!$A$2:$H$16,6,FALSE)</f>
        <v>159</v>
      </c>
      <c r="K322" s="32">
        <f>VLOOKUP(C322,Products!$A$2:$H$16,7,FALSE)</f>
        <v>0.3</v>
      </c>
      <c r="L322" s="29">
        <f>VLOOKUP(C322,Products!$A$2:$H$16,8,FALSE)</f>
        <v>206.7</v>
      </c>
      <c r="M322" s="41">
        <f t="shared" si="12"/>
        <v>7</v>
      </c>
      <c r="N322" s="43">
        <f t="shared" si="13"/>
        <v>1446.8999999999999</v>
      </c>
      <c r="O322" s="43">
        <f t="shared" si="14"/>
        <v>1113</v>
      </c>
    </row>
    <row r="323" spans="1:15" x14ac:dyDescent="0.25">
      <c r="A323" s="31">
        <v>41478</v>
      </c>
      <c r="B323" t="s">
        <v>37</v>
      </c>
      <c r="C323" s="30">
        <v>9</v>
      </c>
      <c r="D323" s="30" t="s">
        <v>38</v>
      </c>
      <c r="E323" s="30">
        <v>5</v>
      </c>
      <c r="F323" t="str">
        <f>VLOOKUP(C323,Products!$A$2:$H$16,2,FALSE)</f>
        <v>A Guide to Health</v>
      </c>
      <c r="G323" t="str">
        <f>VLOOKUP(C323,Products!$A$2:$H$16,3,FALSE)</f>
        <v>Mahatma Gandhi</v>
      </c>
      <c r="H323" t="str">
        <f>VLOOKUP(C323,Products!$A$2:$H$16,4,FALSE)</f>
        <v>Soft Cover</v>
      </c>
      <c r="I323">
        <f>VLOOKUP(C323,Products!$A$2:$H$16,5,FALSE)</f>
        <v>1921</v>
      </c>
      <c r="J323" s="29">
        <f>VLOOKUP(C323,Products!$A$2:$H$16,6,FALSE)</f>
        <v>220</v>
      </c>
      <c r="K323" s="32">
        <f>VLOOKUP(C323,Products!$A$2:$H$16,7,FALSE)</f>
        <v>0.15</v>
      </c>
      <c r="L323" s="29">
        <f>VLOOKUP(C323,Products!$A$2:$H$16,8,FALSE)</f>
        <v>253</v>
      </c>
      <c r="M323" s="41">
        <f t="shared" ref="M323:M386" si="15">MONTH(A323)</f>
        <v>7</v>
      </c>
      <c r="N323" s="43">
        <f t="shared" ref="N323:N386" si="16">L323*E323</f>
        <v>1265</v>
      </c>
      <c r="O323" s="43">
        <f t="shared" ref="O323:O386" si="17">J323*E323</f>
        <v>1100</v>
      </c>
    </row>
    <row r="324" spans="1:15" x14ac:dyDescent="0.25">
      <c r="A324" s="31">
        <v>41478</v>
      </c>
      <c r="B324" t="s">
        <v>35</v>
      </c>
      <c r="C324" s="30">
        <v>13</v>
      </c>
      <c r="D324" s="30" t="s">
        <v>34</v>
      </c>
      <c r="E324" s="30">
        <v>10</v>
      </c>
      <c r="F324" t="str">
        <f>VLOOKUP(C324,Products!$A$2:$H$16,2,FALSE)</f>
        <v>Glimpses of World History</v>
      </c>
      <c r="G324" t="str">
        <f>VLOOKUP(C324,Products!$A$2:$H$16,3,FALSE)</f>
        <v>Jawaharlal Nehru</v>
      </c>
      <c r="H324" t="str">
        <f>VLOOKUP(C324,Products!$A$2:$H$16,4,FALSE)</f>
        <v>e-book</v>
      </c>
      <c r="I324">
        <f>VLOOKUP(C324,Products!$A$2:$H$16,5,FALSE)</f>
        <v>2005</v>
      </c>
      <c r="J324" s="29">
        <f>VLOOKUP(C324,Products!$A$2:$H$16,6,FALSE)</f>
        <v>300</v>
      </c>
      <c r="K324" s="32">
        <f>VLOOKUP(C324,Products!$A$2:$H$16,7,FALSE)</f>
        <v>0.2</v>
      </c>
      <c r="L324" s="29">
        <f>VLOOKUP(C324,Products!$A$2:$H$16,8,FALSE)</f>
        <v>360</v>
      </c>
      <c r="M324" s="41">
        <f t="shared" si="15"/>
        <v>7</v>
      </c>
      <c r="N324" s="43">
        <f t="shared" si="16"/>
        <v>3600</v>
      </c>
      <c r="O324" s="43">
        <f t="shared" si="17"/>
        <v>3000</v>
      </c>
    </row>
    <row r="325" spans="1:15" x14ac:dyDescent="0.25">
      <c r="A325" s="31">
        <v>41479</v>
      </c>
      <c r="B325" t="s">
        <v>36</v>
      </c>
      <c r="C325" s="30">
        <v>10</v>
      </c>
      <c r="D325" s="30" t="s">
        <v>38</v>
      </c>
      <c r="E325" s="30">
        <v>4</v>
      </c>
      <c r="F325" t="str">
        <f>VLOOKUP(C325,Products!$A$2:$H$16,2,FALSE)</f>
        <v>Wings of Fire</v>
      </c>
      <c r="G325" t="str">
        <f>VLOOKUP(C325,Products!$A$2:$H$16,3,FALSE)</f>
        <v>APJ Abdul Kalam,
Arun Tiwari</v>
      </c>
      <c r="H325" t="str">
        <f>VLOOKUP(C325,Products!$A$2:$H$16,4,FALSE)</f>
        <v>Soft Cover</v>
      </c>
      <c r="I325">
        <f>VLOOKUP(C325,Products!$A$2:$H$16,5,FALSE)</f>
        <v>1999</v>
      </c>
      <c r="J325" s="29">
        <f>VLOOKUP(C325,Products!$A$2:$H$16,6,FALSE)</f>
        <v>1200</v>
      </c>
      <c r="K325" s="32">
        <f>VLOOKUP(C325,Products!$A$2:$H$16,7,FALSE)</f>
        <v>0.1</v>
      </c>
      <c r="L325" s="29">
        <f>VLOOKUP(C325,Products!$A$2:$H$16,8,FALSE)</f>
        <v>1320</v>
      </c>
      <c r="M325" s="41">
        <f t="shared" si="15"/>
        <v>7</v>
      </c>
      <c r="N325" s="43">
        <f t="shared" si="16"/>
        <v>5280</v>
      </c>
      <c r="O325" s="43">
        <f t="shared" si="17"/>
        <v>4800</v>
      </c>
    </row>
    <row r="326" spans="1:15" x14ac:dyDescent="0.25">
      <c r="A326" s="31">
        <v>41479</v>
      </c>
      <c r="B326" t="s">
        <v>36</v>
      </c>
      <c r="C326" s="30">
        <v>12</v>
      </c>
      <c r="D326" s="30" t="s">
        <v>34</v>
      </c>
      <c r="E326" s="30">
        <v>10</v>
      </c>
      <c r="F326" t="str">
        <f>VLOOKUP(C326,Products!$A$2:$H$16,2,FALSE)</f>
        <v>The Story of my Experiments with Truth</v>
      </c>
      <c r="G326" t="str">
        <f>VLOOKUP(C326,Products!$A$2:$H$16,3,FALSE)</f>
        <v>Mahatma Gandhi</v>
      </c>
      <c r="H326" t="str">
        <f>VLOOKUP(C326,Products!$A$2:$H$16,4,FALSE)</f>
        <v>e-book</v>
      </c>
      <c r="I326">
        <f>VLOOKUP(C326,Products!$A$2:$H$16,5,FALSE)</f>
        <v>2004</v>
      </c>
      <c r="J326" s="29">
        <f>VLOOKUP(C326,Products!$A$2:$H$16,6,FALSE)</f>
        <v>50</v>
      </c>
      <c r="K326" s="32">
        <f>VLOOKUP(C326,Products!$A$2:$H$16,7,FALSE)</f>
        <v>0.3</v>
      </c>
      <c r="L326" s="29">
        <f>VLOOKUP(C326,Products!$A$2:$H$16,8,FALSE)</f>
        <v>65</v>
      </c>
      <c r="M326" s="41">
        <f t="shared" si="15"/>
        <v>7</v>
      </c>
      <c r="N326" s="43">
        <f t="shared" si="16"/>
        <v>650</v>
      </c>
      <c r="O326" s="43">
        <f t="shared" si="17"/>
        <v>500</v>
      </c>
    </row>
    <row r="327" spans="1:15" x14ac:dyDescent="0.25">
      <c r="A327" s="31">
        <v>41479</v>
      </c>
      <c r="B327" t="s">
        <v>39</v>
      </c>
      <c r="C327" s="30">
        <v>10</v>
      </c>
      <c r="D327" s="30" t="s">
        <v>34</v>
      </c>
      <c r="E327" s="30">
        <v>12</v>
      </c>
      <c r="F327" t="str">
        <f>VLOOKUP(C327,Products!$A$2:$H$16,2,FALSE)</f>
        <v>Wings of Fire</v>
      </c>
      <c r="G327" t="str">
        <f>VLOOKUP(C327,Products!$A$2:$H$16,3,FALSE)</f>
        <v>APJ Abdul Kalam,
Arun Tiwari</v>
      </c>
      <c r="H327" t="str">
        <f>VLOOKUP(C327,Products!$A$2:$H$16,4,FALSE)</f>
        <v>Soft Cover</v>
      </c>
      <c r="I327">
        <f>VLOOKUP(C327,Products!$A$2:$H$16,5,FALSE)</f>
        <v>1999</v>
      </c>
      <c r="J327" s="29">
        <f>VLOOKUP(C327,Products!$A$2:$H$16,6,FALSE)</f>
        <v>1200</v>
      </c>
      <c r="K327" s="32">
        <f>VLOOKUP(C327,Products!$A$2:$H$16,7,FALSE)</f>
        <v>0.1</v>
      </c>
      <c r="L327" s="29">
        <f>VLOOKUP(C327,Products!$A$2:$H$16,8,FALSE)</f>
        <v>1320</v>
      </c>
      <c r="M327" s="41">
        <f t="shared" si="15"/>
        <v>7</v>
      </c>
      <c r="N327" s="43">
        <f t="shared" si="16"/>
        <v>15840</v>
      </c>
      <c r="O327" s="43">
        <f t="shared" si="17"/>
        <v>14400</v>
      </c>
    </row>
    <row r="328" spans="1:15" x14ac:dyDescent="0.25">
      <c r="A328" s="31">
        <v>41479</v>
      </c>
      <c r="B328" t="s">
        <v>37</v>
      </c>
      <c r="C328" s="30">
        <v>10</v>
      </c>
      <c r="D328" s="30" t="s">
        <v>38</v>
      </c>
      <c r="E328" s="30">
        <v>16</v>
      </c>
      <c r="F328" t="str">
        <f>VLOOKUP(C328,Products!$A$2:$H$16,2,FALSE)</f>
        <v>Wings of Fire</v>
      </c>
      <c r="G328" t="str">
        <f>VLOOKUP(C328,Products!$A$2:$H$16,3,FALSE)</f>
        <v>APJ Abdul Kalam,
Arun Tiwari</v>
      </c>
      <c r="H328" t="str">
        <f>VLOOKUP(C328,Products!$A$2:$H$16,4,FALSE)</f>
        <v>Soft Cover</v>
      </c>
      <c r="I328">
        <f>VLOOKUP(C328,Products!$A$2:$H$16,5,FALSE)</f>
        <v>1999</v>
      </c>
      <c r="J328" s="29">
        <f>VLOOKUP(C328,Products!$A$2:$H$16,6,FALSE)</f>
        <v>1200</v>
      </c>
      <c r="K328" s="32">
        <f>VLOOKUP(C328,Products!$A$2:$H$16,7,FALSE)</f>
        <v>0.1</v>
      </c>
      <c r="L328" s="29">
        <f>VLOOKUP(C328,Products!$A$2:$H$16,8,FALSE)</f>
        <v>1320</v>
      </c>
      <c r="M328" s="41">
        <f t="shared" si="15"/>
        <v>7</v>
      </c>
      <c r="N328" s="43">
        <f t="shared" si="16"/>
        <v>21120</v>
      </c>
      <c r="O328" s="43">
        <f t="shared" si="17"/>
        <v>19200</v>
      </c>
    </row>
    <row r="329" spans="1:15" x14ac:dyDescent="0.25">
      <c r="A329" s="31">
        <v>41480</v>
      </c>
      <c r="B329" t="s">
        <v>36</v>
      </c>
      <c r="C329" s="30">
        <v>6</v>
      </c>
      <c r="D329" s="30" t="s">
        <v>38</v>
      </c>
      <c r="E329" s="30">
        <v>15</v>
      </c>
      <c r="F329" t="str">
        <f>VLOOKUP(C329,Products!$A$2:$H$16,2,FALSE)</f>
        <v>The Discovery of India</v>
      </c>
      <c r="G329" t="str">
        <f>VLOOKUP(C329,Products!$A$2:$H$16,3,FALSE)</f>
        <v>Jawaharlal Nehru</v>
      </c>
      <c r="H329" t="str">
        <f>VLOOKUP(C329,Products!$A$2:$H$16,4,FALSE)</f>
        <v>Soft Cover</v>
      </c>
      <c r="I329">
        <f>VLOOKUP(C329,Products!$A$2:$H$16,5,FALSE)</f>
        <v>1946</v>
      </c>
      <c r="J329" s="29">
        <f>VLOOKUP(C329,Products!$A$2:$H$16,6,FALSE)</f>
        <v>499</v>
      </c>
      <c r="K329" s="32">
        <f>VLOOKUP(C329,Products!$A$2:$H$16,7,FALSE)</f>
        <v>0.3</v>
      </c>
      <c r="L329" s="29">
        <f>VLOOKUP(C329,Products!$A$2:$H$16,8,FALSE)</f>
        <v>648.70000000000005</v>
      </c>
      <c r="M329" s="41">
        <f t="shared" si="15"/>
        <v>7</v>
      </c>
      <c r="N329" s="43">
        <f t="shared" si="16"/>
        <v>9730.5</v>
      </c>
      <c r="O329" s="43">
        <f t="shared" si="17"/>
        <v>7485</v>
      </c>
    </row>
    <row r="330" spans="1:15" x14ac:dyDescent="0.25">
      <c r="A330" s="31">
        <v>41482</v>
      </c>
      <c r="B330" t="s">
        <v>41</v>
      </c>
      <c r="C330" s="30">
        <v>9</v>
      </c>
      <c r="D330" s="30" t="s">
        <v>38</v>
      </c>
      <c r="E330" s="30">
        <v>17</v>
      </c>
      <c r="F330" t="str">
        <f>VLOOKUP(C330,Products!$A$2:$H$16,2,FALSE)</f>
        <v>A Guide to Health</v>
      </c>
      <c r="G330" t="str">
        <f>VLOOKUP(C330,Products!$A$2:$H$16,3,FALSE)</f>
        <v>Mahatma Gandhi</v>
      </c>
      <c r="H330" t="str">
        <f>VLOOKUP(C330,Products!$A$2:$H$16,4,FALSE)</f>
        <v>Soft Cover</v>
      </c>
      <c r="I330">
        <f>VLOOKUP(C330,Products!$A$2:$H$16,5,FALSE)</f>
        <v>1921</v>
      </c>
      <c r="J330" s="29">
        <f>VLOOKUP(C330,Products!$A$2:$H$16,6,FALSE)</f>
        <v>220</v>
      </c>
      <c r="K330" s="32">
        <f>VLOOKUP(C330,Products!$A$2:$H$16,7,FALSE)</f>
        <v>0.15</v>
      </c>
      <c r="L330" s="29">
        <f>VLOOKUP(C330,Products!$A$2:$H$16,8,FALSE)</f>
        <v>253</v>
      </c>
      <c r="M330" s="41">
        <f t="shared" si="15"/>
        <v>7</v>
      </c>
      <c r="N330" s="43">
        <f t="shared" si="16"/>
        <v>4301</v>
      </c>
      <c r="O330" s="43">
        <f t="shared" si="17"/>
        <v>3740</v>
      </c>
    </row>
    <row r="331" spans="1:15" x14ac:dyDescent="0.25">
      <c r="A331" s="31">
        <v>41483</v>
      </c>
      <c r="B331" t="s">
        <v>40</v>
      </c>
      <c r="C331" s="30">
        <v>8</v>
      </c>
      <c r="D331" s="30" t="s">
        <v>38</v>
      </c>
      <c r="E331" s="30">
        <v>12</v>
      </c>
      <c r="F331" t="str">
        <f>VLOOKUP(C331,Products!$A$2:$H$16,2,FALSE)</f>
        <v>Glimpses of World History</v>
      </c>
      <c r="G331" t="str">
        <f>VLOOKUP(C331,Products!$A$2:$H$16,3,FALSE)</f>
        <v>Jawaharlal Nehru</v>
      </c>
      <c r="H331" t="str">
        <f>VLOOKUP(C331,Products!$A$2:$H$16,4,FALSE)</f>
        <v>Soft Cover</v>
      </c>
      <c r="I331">
        <f>VLOOKUP(C331,Products!$A$2:$H$16,5,FALSE)</f>
        <v>1934</v>
      </c>
      <c r="J331" s="29">
        <f>VLOOKUP(C331,Products!$A$2:$H$16,6,FALSE)</f>
        <v>650</v>
      </c>
      <c r="K331" s="32">
        <f>VLOOKUP(C331,Products!$A$2:$H$16,7,FALSE)</f>
        <v>0.2</v>
      </c>
      <c r="L331" s="29">
        <f>VLOOKUP(C331,Products!$A$2:$H$16,8,FALSE)</f>
        <v>780</v>
      </c>
      <c r="M331" s="41">
        <f t="shared" si="15"/>
        <v>7</v>
      </c>
      <c r="N331" s="43">
        <f t="shared" si="16"/>
        <v>9360</v>
      </c>
      <c r="O331" s="43">
        <f t="shared" si="17"/>
        <v>7800</v>
      </c>
    </row>
    <row r="332" spans="1:15" x14ac:dyDescent="0.25">
      <c r="A332" s="31">
        <v>41484</v>
      </c>
      <c r="B332" t="s">
        <v>35</v>
      </c>
      <c r="C332" s="30">
        <v>7</v>
      </c>
      <c r="D332" s="30" t="s">
        <v>38</v>
      </c>
      <c r="E332" s="30">
        <v>11</v>
      </c>
      <c r="F332" t="str">
        <f>VLOOKUP(C332,Products!$A$2:$H$16,2,FALSE)</f>
        <v>The Story of my Experiments with Truth</v>
      </c>
      <c r="G332" t="str">
        <f>VLOOKUP(C332,Products!$A$2:$H$16,3,FALSE)</f>
        <v>Mahatma Gandhi</v>
      </c>
      <c r="H332" t="str">
        <f>VLOOKUP(C332,Products!$A$2:$H$16,4,FALSE)</f>
        <v>Soft Cover</v>
      </c>
      <c r="I332">
        <f>VLOOKUP(C332,Products!$A$2:$H$16,5,FALSE)</f>
        <v>1927</v>
      </c>
      <c r="J332" s="29">
        <f>VLOOKUP(C332,Products!$A$2:$H$16,6,FALSE)</f>
        <v>109</v>
      </c>
      <c r="K332" s="32">
        <f>VLOOKUP(C332,Products!$A$2:$H$16,7,FALSE)</f>
        <v>0.3</v>
      </c>
      <c r="L332" s="29">
        <f>VLOOKUP(C332,Products!$A$2:$H$16,8,FALSE)</f>
        <v>141.69999999999999</v>
      </c>
      <c r="M332" s="41">
        <f t="shared" si="15"/>
        <v>7</v>
      </c>
      <c r="N332" s="43">
        <f t="shared" si="16"/>
        <v>1558.6999999999998</v>
      </c>
      <c r="O332" s="43">
        <f t="shared" si="17"/>
        <v>1199</v>
      </c>
    </row>
    <row r="333" spans="1:15" x14ac:dyDescent="0.25">
      <c r="A333" s="31">
        <v>41484</v>
      </c>
      <c r="B333" t="s">
        <v>36</v>
      </c>
      <c r="C333" s="30">
        <v>9</v>
      </c>
      <c r="D333" s="30" t="s">
        <v>38</v>
      </c>
      <c r="E333" s="30">
        <v>19</v>
      </c>
      <c r="F333" t="str">
        <f>VLOOKUP(C333,Products!$A$2:$H$16,2,FALSE)</f>
        <v>A Guide to Health</v>
      </c>
      <c r="G333" t="str">
        <f>VLOOKUP(C333,Products!$A$2:$H$16,3,FALSE)</f>
        <v>Mahatma Gandhi</v>
      </c>
      <c r="H333" t="str">
        <f>VLOOKUP(C333,Products!$A$2:$H$16,4,FALSE)</f>
        <v>Soft Cover</v>
      </c>
      <c r="I333">
        <f>VLOOKUP(C333,Products!$A$2:$H$16,5,FALSE)</f>
        <v>1921</v>
      </c>
      <c r="J333" s="29">
        <f>VLOOKUP(C333,Products!$A$2:$H$16,6,FALSE)</f>
        <v>220</v>
      </c>
      <c r="K333" s="32">
        <f>VLOOKUP(C333,Products!$A$2:$H$16,7,FALSE)</f>
        <v>0.15</v>
      </c>
      <c r="L333" s="29">
        <f>VLOOKUP(C333,Products!$A$2:$H$16,8,FALSE)</f>
        <v>253</v>
      </c>
      <c r="M333" s="41">
        <f t="shared" si="15"/>
        <v>7</v>
      </c>
      <c r="N333" s="43">
        <f t="shared" si="16"/>
        <v>4807</v>
      </c>
      <c r="O333" s="43">
        <f t="shared" si="17"/>
        <v>4180</v>
      </c>
    </row>
    <row r="334" spans="1:15" x14ac:dyDescent="0.25">
      <c r="A334" s="31">
        <v>41485</v>
      </c>
      <c r="B334" t="s">
        <v>42</v>
      </c>
      <c r="C334" s="30">
        <v>14</v>
      </c>
      <c r="D334" s="30" t="s">
        <v>38</v>
      </c>
      <c r="E334" s="30">
        <v>7</v>
      </c>
      <c r="F334" t="str">
        <f>VLOOKUP(C334,Products!$A$2:$H$16,2,FALSE)</f>
        <v>A Guide to Health</v>
      </c>
      <c r="G334" t="str">
        <f>VLOOKUP(C334,Products!$A$2:$H$16,3,FALSE)</f>
        <v>Mahatma Gandhi</v>
      </c>
      <c r="H334" t="str">
        <f>VLOOKUP(C334,Products!$A$2:$H$16,4,FALSE)</f>
        <v>e-book</v>
      </c>
      <c r="I334">
        <f>VLOOKUP(C334,Products!$A$2:$H$16,5,FALSE)</f>
        <v>2005</v>
      </c>
      <c r="J334" s="29">
        <f>VLOOKUP(C334,Products!$A$2:$H$16,6,FALSE)</f>
        <v>105</v>
      </c>
      <c r="K334" s="32">
        <f>VLOOKUP(C334,Products!$A$2:$H$16,7,FALSE)</f>
        <v>0.15</v>
      </c>
      <c r="L334" s="29">
        <f>VLOOKUP(C334,Products!$A$2:$H$16,8,FALSE)</f>
        <v>120.75</v>
      </c>
      <c r="M334" s="41">
        <f t="shared" si="15"/>
        <v>7</v>
      </c>
      <c r="N334" s="43">
        <f t="shared" si="16"/>
        <v>845.25</v>
      </c>
      <c r="O334" s="43">
        <f t="shared" si="17"/>
        <v>735</v>
      </c>
    </row>
    <row r="335" spans="1:15" x14ac:dyDescent="0.25">
      <c r="A335" s="31">
        <v>41485</v>
      </c>
      <c r="B335" t="s">
        <v>41</v>
      </c>
      <c r="C335" s="30">
        <v>9</v>
      </c>
      <c r="D335" s="30" t="s">
        <v>34</v>
      </c>
      <c r="E335" s="30">
        <v>6</v>
      </c>
      <c r="F335" t="str">
        <f>VLOOKUP(C335,Products!$A$2:$H$16,2,FALSE)</f>
        <v>A Guide to Health</v>
      </c>
      <c r="G335" t="str">
        <f>VLOOKUP(C335,Products!$A$2:$H$16,3,FALSE)</f>
        <v>Mahatma Gandhi</v>
      </c>
      <c r="H335" t="str">
        <f>VLOOKUP(C335,Products!$A$2:$H$16,4,FALSE)</f>
        <v>Soft Cover</v>
      </c>
      <c r="I335">
        <f>VLOOKUP(C335,Products!$A$2:$H$16,5,FALSE)</f>
        <v>1921</v>
      </c>
      <c r="J335" s="29">
        <f>VLOOKUP(C335,Products!$A$2:$H$16,6,FALSE)</f>
        <v>220</v>
      </c>
      <c r="K335" s="32">
        <f>VLOOKUP(C335,Products!$A$2:$H$16,7,FALSE)</f>
        <v>0.15</v>
      </c>
      <c r="L335" s="29">
        <f>VLOOKUP(C335,Products!$A$2:$H$16,8,FALSE)</f>
        <v>253</v>
      </c>
      <c r="M335" s="41">
        <f t="shared" si="15"/>
        <v>7</v>
      </c>
      <c r="N335" s="43">
        <f t="shared" si="16"/>
        <v>1518</v>
      </c>
      <c r="O335" s="43">
        <f t="shared" si="17"/>
        <v>1320</v>
      </c>
    </row>
    <row r="336" spans="1:15" x14ac:dyDescent="0.25">
      <c r="A336" s="31">
        <v>41487</v>
      </c>
      <c r="B336" t="s">
        <v>42</v>
      </c>
      <c r="C336" s="30">
        <v>2</v>
      </c>
      <c r="D336" s="30" t="s">
        <v>38</v>
      </c>
      <c r="E336" s="30">
        <v>3</v>
      </c>
      <c r="F336" t="str">
        <f>VLOOKUP(C336,Products!$A$2:$H$16,2,FALSE)</f>
        <v>The Story of my Experiments with Truth</v>
      </c>
      <c r="G336" t="str">
        <f>VLOOKUP(C336,Products!$A$2:$H$16,3,FALSE)</f>
        <v>Mahatma Gandhi</v>
      </c>
      <c r="H336" t="str">
        <f>VLOOKUP(C336,Products!$A$2:$H$16,4,FALSE)</f>
        <v>Hard Cover</v>
      </c>
      <c r="I336">
        <f>VLOOKUP(C336,Products!$A$2:$H$16,5,FALSE)</f>
        <v>1927</v>
      </c>
      <c r="J336" s="29">
        <f>VLOOKUP(C336,Products!$A$2:$H$16,6,FALSE)</f>
        <v>159</v>
      </c>
      <c r="K336" s="32">
        <f>VLOOKUP(C336,Products!$A$2:$H$16,7,FALSE)</f>
        <v>0.3</v>
      </c>
      <c r="L336" s="29">
        <f>VLOOKUP(C336,Products!$A$2:$H$16,8,FALSE)</f>
        <v>206.7</v>
      </c>
      <c r="M336" s="41">
        <f t="shared" si="15"/>
        <v>8</v>
      </c>
      <c r="N336" s="43">
        <f t="shared" si="16"/>
        <v>620.09999999999991</v>
      </c>
      <c r="O336" s="43">
        <f t="shared" si="17"/>
        <v>477</v>
      </c>
    </row>
    <row r="337" spans="1:15" x14ac:dyDescent="0.25">
      <c r="A337" s="31">
        <v>41487</v>
      </c>
      <c r="B337" t="s">
        <v>40</v>
      </c>
      <c r="C337" s="30">
        <v>11</v>
      </c>
      <c r="D337" s="30" t="s">
        <v>38</v>
      </c>
      <c r="E337" s="30">
        <v>6</v>
      </c>
      <c r="F337" t="str">
        <f>VLOOKUP(C337,Products!$A$2:$H$16,2,FALSE)</f>
        <v>The Discovery of India</v>
      </c>
      <c r="G337" t="str">
        <f>VLOOKUP(C337,Products!$A$2:$H$16,3,FALSE)</f>
        <v>Jawaharlal Nehru</v>
      </c>
      <c r="H337" t="str">
        <f>VLOOKUP(C337,Products!$A$2:$H$16,4,FALSE)</f>
        <v>e-book</v>
      </c>
      <c r="I337">
        <f>VLOOKUP(C337,Products!$A$2:$H$16,5,FALSE)</f>
        <v>2004</v>
      </c>
      <c r="J337" s="29">
        <f>VLOOKUP(C337,Products!$A$2:$H$16,6,FALSE)</f>
        <v>250</v>
      </c>
      <c r="K337" s="32">
        <f>VLOOKUP(C337,Products!$A$2:$H$16,7,FALSE)</f>
        <v>0.3</v>
      </c>
      <c r="L337" s="29">
        <f>VLOOKUP(C337,Products!$A$2:$H$16,8,FALSE)</f>
        <v>325</v>
      </c>
      <c r="M337" s="41">
        <f t="shared" si="15"/>
        <v>8</v>
      </c>
      <c r="N337" s="43">
        <f t="shared" si="16"/>
        <v>1950</v>
      </c>
      <c r="O337" s="43">
        <f t="shared" si="17"/>
        <v>1500</v>
      </c>
    </row>
    <row r="338" spans="1:15" x14ac:dyDescent="0.25">
      <c r="A338" s="31">
        <v>41487</v>
      </c>
      <c r="B338" t="s">
        <v>39</v>
      </c>
      <c r="C338" s="30">
        <v>9</v>
      </c>
      <c r="D338" s="30" t="s">
        <v>38</v>
      </c>
      <c r="E338" s="30">
        <v>5</v>
      </c>
      <c r="F338" t="str">
        <f>VLOOKUP(C338,Products!$A$2:$H$16,2,FALSE)</f>
        <v>A Guide to Health</v>
      </c>
      <c r="G338" t="str">
        <f>VLOOKUP(C338,Products!$A$2:$H$16,3,FALSE)</f>
        <v>Mahatma Gandhi</v>
      </c>
      <c r="H338" t="str">
        <f>VLOOKUP(C338,Products!$A$2:$H$16,4,FALSE)</f>
        <v>Soft Cover</v>
      </c>
      <c r="I338">
        <f>VLOOKUP(C338,Products!$A$2:$H$16,5,FALSE)</f>
        <v>1921</v>
      </c>
      <c r="J338" s="29">
        <f>VLOOKUP(C338,Products!$A$2:$H$16,6,FALSE)</f>
        <v>220</v>
      </c>
      <c r="K338" s="32">
        <f>VLOOKUP(C338,Products!$A$2:$H$16,7,FALSE)</f>
        <v>0.15</v>
      </c>
      <c r="L338" s="29">
        <f>VLOOKUP(C338,Products!$A$2:$H$16,8,FALSE)</f>
        <v>253</v>
      </c>
      <c r="M338" s="41">
        <f t="shared" si="15"/>
        <v>8</v>
      </c>
      <c r="N338" s="43">
        <f t="shared" si="16"/>
        <v>1265</v>
      </c>
      <c r="O338" s="43">
        <f t="shared" si="17"/>
        <v>1100</v>
      </c>
    </row>
    <row r="339" spans="1:15" x14ac:dyDescent="0.25">
      <c r="A339" s="31">
        <v>41487</v>
      </c>
      <c r="B339" t="s">
        <v>37</v>
      </c>
      <c r="C339" s="30">
        <v>4</v>
      </c>
      <c r="D339" s="30" t="s">
        <v>38</v>
      </c>
      <c r="E339" s="30">
        <v>1</v>
      </c>
      <c r="F339" t="str">
        <f>VLOOKUP(C339,Products!$A$2:$H$16,2,FALSE)</f>
        <v>A Guide to Health</v>
      </c>
      <c r="G339" t="str">
        <f>VLOOKUP(C339,Products!$A$2:$H$16,3,FALSE)</f>
        <v>Mahatma Gandhi</v>
      </c>
      <c r="H339" t="str">
        <f>VLOOKUP(C339,Products!$A$2:$H$16,4,FALSE)</f>
        <v>Hard Cover</v>
      </c>
      <c r="I339">
        <f>VLOOKUP(C339,Products!$A$2:$H$16,5,FALSE)</f>
        <v>1921</v>
      </c>
      <c r="J339" s="29">
        <f>VLOOKUP(C339,Products!$A$2:$H$16,6,FALSE)</f>
        <v>250</v>
      </c>
      <c r="K339" s="32">
        <f>VLOOKUP(C339,Products!$A$2:$H$16,7,FALSE)</f>
        <v>0.15</v>
      </c>
      <c r="L339" s="29">
        <f>VLOOKUP(C339,Products!$A$2:$H$16,8,FALSE)</f>
        <v>287.5</v>
      </c>
      <c r="M339" s="41">
        <f t="shared" si="15"/>
        <v>8</v>
      </c>
      <c r="N339" s="43">
        <f t="shared" si="16"/>
        <v>287.5</v>
      </c>
      <c r="O339" s="43">
        <f t="shared" si="17"/>
        <v>250</v>
      </c>
    </row>
    <row r="340" spans="1:15" x14ac:dyDescent="0.25">
      <c r="A340" s="31">
        <v>41488</v>
      </c>
      <c r="B340" t="s">
        <v>37</v>
      </c>
      <c r="C340" s="30">
        <v>13</v>
      </c>
      <c r="D340" s="30" t="s">
        <v>38</v>
      </c>
      <c r="E340" s="30">
        <v>14</v>
      </c>
      <c r="F340" t="str">
        <f>VLOOKUP(C340,Products!$A$2:$H$16,2,FALSE)</f>
        <v>Glimpses of World History</v>
      </c>
      <c r="G340" t="str">
        <f>VLOOKUP(C340,Products!$A$2:$H$16,3,FALSE)</f>
        <v>Jawaharlal Nehru</v>
      </c>
      <c r="H340" t="str">
        <f>VLOOKUP(C340,Products!$A$2:$H$16,4,FALSE)</f>
        <v>e-book</v>
      </c>
      <c r="I340">
        <f>VLOOKUP(C340,Products!$A$2:$H$16,5,FALSE)</f>
        <v>2005</v>
      </c>
      <c r="J340" s="29">
        <f>VLOOKUP(C340,Products!$A$2:$H$16,6,FALSE)</f>
        <v>300</v>
      </c>
      <c r="K340" s="32">
        <f>VLOOKUP(C340,Products!$A$2:$H$16,7,FALSE)</f>
        <v>0.2</v>
      </c>
      <c r="L340" s="29">
        <f>VLOOKUP(C340,Products!$A$2:$H$16,8,FALSE)</f>
        <v>360</v>
      </c>
      <c r="M340" s="41">
        <f t="shared" si="15"/>
        <v>8</v>
      </c>
      <c r="N340" s="43">
        <f t="shared" si="16"/>
        <v>5040</v>
      </c>
      <c r="O340" s="43">
        <f t="shared" si="17"/>
        <v>4200</v>
      </c>
    </row>
    <row r="341" spans="1:15" x14ac:dyDescent="0.25">
      <c r="A341" s="31">
        <v>41489</v>
      </c>
      <c r="B341" t="s">
        <v>39</v>
      </c>
      <c r="C341" s="30">
        <v>5</v>
      </c>
      <c r="D341" s="30" t="s">
        <v>34</v>
      </c>
      <c r="E341" s="30">
        <v>10</v>
      </c>
      <c r="F341" t="str">
        <f>VLOOKUP(C341,Products!$A$2:$H$16,2,FALSE)</f>
        <v>Wings of Fire</v>
      </c>
      <c r="G341" t="str">
        <f>VLOOKUP(C341,Products!$A$2:$H$16,3,FALSE)</f>
        <v>APJ Abdul Kalam,
Arun Tiwari</v>
      </c>
      <c r="H341" t="str">
        <f>VLOOKUP(C341,Products!$A$2:$H$16,4,FALSE)</f>
        <v>Hard Cover</v>
      </c>
      <c r="I341">
        <f>VLOOKUP(C341,Products!$A$2:$H$16,5,FALSE)</f>
        <v>1999</v>
      </c>
      <c r="J341" s="29">
        <f>VLOOKUP(C341,Products!$A$2:$H$16,6,FALSE)</f>
        <v>1275.2488000000001</v>
      </c>
      <c r="K341" s="32">
        <f>VLOOKUP(C341,Products!$A$2:$H$16,7,FALSE)</f>
        <v>0.1</v>
      </c>
      <c r="L341" s="29">
        <f>VLOOKUP(C341,Products!$A$2:$H$16,8,FALSE)</f>
        <v>1402.77368</v>
      </c>
      <c r="M341" s="41">
        <f t="shared" si="15"/>
        <v>8</v>
      </c>
      <c r="N341" s="43">
        <f t="shared" si="16"/>
        <v>14027.736800000001</v>
      </c>
      <c r="O341" s="43">
        <f t="shared" si="17"/>
        <v>12752.488000000001</v>
      </c>
    </row>
    <row r="342" spans="1:15" x14ac:dyDescent="0.25">
      <c r="A342" s="31">
        <v>41490</v>
      </c>
      <c r="B342" t="s">
        <v>36</v>
      </c>
      <c r="C342" s="30">
        <v>10</v>
      </c>
      <c r="D342" s="30" t="s">
        <v>34</v>
      </c>
      <c r="E342" s="30">
        <v>9</v>
      </c>
      <c r="F342" t="str">
        <f>VLOOKUP(C342,Products!$A$2:$H$16,2,FALSE)</f>
        <v>Wings of Fire</v>
      </c>
      <c r="G342" t="str">
        <f>VLOOKUP(C342,Products!$A$2:$H$16,3,FALSE)</f>
        <v>APJ Abdul Kalam,
Arun Tiwari</v>
      </c>
      <c r="H342" t="str">
        <f>VLOOKUP(C342,Products!$A$2:$H$16,4,FALSE)</f>
        <v>Soft Cover</v>
      </c>
      <c r="I342">
        <f>VLOOKUP(C342,Products!$A$2:$H$16,5,FALSE)</f>
        <v>1999</v>
      </c>
      <c r="J342" s="29">
        <f>VLOOKUP(C342,Products!$A$2:$H$16,6,FALSE)</f>
        <v>1200</v>
      </c>
      <c r="K342" s="32">
        <f>VLOOKUP(C342,Products!$A$2:$H$16,7,FALSE)</f>
        <v>0.1</v>
      </c>
      <c r="L342" s="29">
        <f>VLOOKUP(C342,Products!$A$2:$H$16,8,FALSE)</f>
        <v>1320</v>
      </c>
      <c r="M342" s="41">
        <f t="shared" si="15"/>
        <v>8</v>
      </c>
      <c r="N342" s="43">
        <f t="shared" si="16"/>
        <v>11880</v>
      </c>
      <c r="O342" s="43">
        <f t="shared" si="17"/>
        <v>10800</v>
      </c>
    </row>
    <row r="343" spans="1:15" x14ac:dyDescent="0.25">
      <c r="A343" s="31">
        <v>41490</v>
      </c>
      <c r="B343" t="s">
        <v>40</v>
      </c>
      <c r="C343" s="30">
        <v>12</v>
      </c>
      <c r="D343" s="30" t="s">
        <v>38</v>
      </c>
      <c r="E343" s="30">
        <v>8</v>
      </c>
      <c r="F343" t="str">
        <f>VLOOKUP(C343,Products!$A$2:$H$16,2,FALSE)</f>
        <v>The Story of my Experiments with Truth</v>
      </c>
      <c r="G343" t="str">
        <f>VLOOKUP(C343,Products!$A$2:$H$16,3,FALSE)</f>
        <v>Mahatma Gandhi</v>
      </c>
      <c r="H343" t="str">
        <f>VLOOKUP(C343,Products!$A$2:$H$16,4,FALSE)</f>
        <v>e-book</v>
      </c>
      <c r="I343">
        <f>VLOOKUP(C343,Products!$A$2:$H$16,5,FALSE)</f>
        <v>2004</v>
      </c>
      <c r="J343" s="29">
        <f>VLOOKUP(C343,Products!$A$2:$H$16,6,FALSE)</f>
        <v>50</v>
      </c>
      <c r="K343" s="32">
        <f>VLOOKUP(C343,Products!$A$2:$H$16,7,FALSE)</f>
        <v>0.3</v>
      </c>
      <c r="L343" s="29">
        <f>VLOOKUP(C343,Products!$A$2:$H$16,8,FALSE)</f>
        <v>65</v>
      </c>
      <c r="M343" s="41">
        <f t="shared" si="15"/>
        <v>8</v>
      </c>
      <c r="N343" s="43">
        <f t="shared" si="16"/>
        <v>520</v>
      </c>
      <c r="O343" s="43">
        <f t="shared" si="17"/>
        <v>400</v>
      </c>
    </row>
    <row r="344" spans="1:15" x14ac:dyDescent="0.25">
      <c r="A344" s="31">
        <v>41490</v>
      </c>
      <c r="B344" t="s">
        <v>42</v>
      </c>
      <c r="C344" s="30">
        <v>5</v>
      </c>
      <c r="D344" s="30" t="s">
        <v>34</v>
      </c>
      <c r="E344" s="30">
        <v>4</v>
      </c>
      <c r="F344" t="str">
        <f>VLOOKUP(C344,Products!$A$2:$H$16,2,FALSE)</f>
        <v>Wings of Fire</v>
      </c>
      <c r="G344" t="str">
        <f>VLOOKUP(C344,Products!$A$2:$H$16,3,FALSE)</f>
        <v>APJ Abdul Kalam,
Arun Tiwari</v>
      </c>
      <c r="H344" t="str">
        <f>VLOOKUP(C344,Products!$A$2:$H$16,4,FALSE)</f>
        <v>Hard Cover</v>
      </c>
      <c r="I344">
        <f>VLOOKUP(C344,Products!$A$2:$H$16,5,FALSE)</f>
        <v>1999</v>
      </c>
      <c r="J344" s="29">
        <f>VLOOKUP(C344,Products!$A$2:$H$16,6,FALSE)</f>
        <v>1275.2488000000001</v>
      </c>
      <c r="K344" s="32">
        <f>VLOOKUP(C344,Products!$A$2:$H$16,7,FALSE)</f>
        <v>0.1</v>
      </c>
      <c r="L344" s="29">
        <f>VLOOKUP(C344,Products!$A$2:$H$16,8,FALSE)</f>
        <v>1402.77368</v>
      </c>
      <c r="M344" s="41">
        <f t="shared" si="15"/>
        <v>8</v>
      </c>
      <c r="N344" s="43">
        <f t="shared" si="16"/>
        <v>5611.0947200000001</v>
      </c>
      <c r="O344" s="43">
        <f t="shared" si="17"/>
        <v>5100.9952000000003</v>
      </c>
    </row>
    <row r="345" spans="1:15" x14ac:dyDescent="0.25">
      <c r="A345" s="31">
        <v>41490</v>
      </c>
      <c r="B345" t="s">
        <v>33</v>
      </c>
      <c r="C345" s="30">
        <v>12</v>
      </c>
      <c r="D345" s="30" t="s">
        <v>38</v>
      </c>
      <c r="E345" s="30">
        <v>13</v>
      </c>
      <c r="F345" t="str">
        <f>VLOOKUP(C345,Products!$A$2:$H$16,2,FALSE)</f>
        <v>The Story of my Experiments with Truth</v>
      </c>
      <c r="G345" t="str">
        <f>VLOOKUP(C345,Products!$A$2:$H$16,3,FALSE)</f>
        <v>Mahatma Gandhi</v>
      </c>
      <c r="H345" t="str">
        <f>VLOOKUP(C345,Products!$A$2:$H$16,4,FALSE)</f>
        <v>e-book</v>
      </c>
      <c r="I345">
        <f>VLOOKUP(C345,Products!$A$2:$H$16,5,FALSE)</f>
        <v>2004</v>
      </c>
      <c r="J345" s="29">
        <f>VLOOKUP(C345,Products!$A$2:$H$16,6,FALSE)</f>
        <v>50</v>
      </c>
      <c r="K345" s="32">
        <f>VLOOKUP(C345,Products!$A$2:$H$16,7,FALSE)</f>
        <v>0.3</v>
      </c>
      <c r="L345" s="29">
        <f>VLOOKUP(C345,Products!$A$2:$H$16,8,FALSE)</f>
        <v>65</v>
      </c>
      <c r="M345" s="41">
        <f t="shared" si="15"/>
        <v>8</v>
      </c>
      <c r="N345" s="43">
        <f t="shared" si="16"/>
        <v>845</v>
      </c>
      <c r="O345" s="43">
        <f t="shared" si="17"/>
        <v>650</v>
      </c>
    </row>
    <row r="346" spans="1:15" x14ac:dyDescent="0.25">
      <c r="A346" s="31">
        <v>41492</v>
      </c>
      <c r="B346" t="s">
        <v>41</v>
      </c>
      <c r="C346" s="30">
        <v>10</v>
      </c>
      <c r="D346" s="30" t="s">
        <v>38</v>
      </c>
      <c r="E346" s="30">
        <v>2</v>
      </c>
      <c r="F346" t="str">
        <f>VLOOKUP(C346,Products!$A$2:$H$16,2,FALSE)</f>
        <v>Wings of Fire</v>
      </c>
      <c r="G346" t="str">
        <f>VLOOKUP(C346,Products!$A$2:$H$16,3,FALSE)</f>
        <v>APJ Abdul Kalam,
Arun Tiwari</v>
      </c>
      <c r="H346" t="str">
        <f>VLOOKUP(C346,Products!$A$2:$H$16,4,FALSE)</f>
        <v>Soft Cover</v>
      </c>
      <c r="I346">
        <f>VLOOKUP(C346,Products!$A$2:$H$16,5,FALSE)</f>
        <v>1999</v>
      </c>
      <c r="J346" s="29">
        <f>VLOOKUP(C346,Products!$A$2:$H$16,6,FALSE)</f>
        <v>1200</v>
      </c>
      <c r="K346" s="32">
        <f>VLOOKUP(C346,Products!$A$2:$H$16,7,FALSE)</f>
        <v>0.1</v>
      </c>
      <c r="L346" s="29">
        <f>VLOOKUP(C346,Products!$A$2:$H$16,8,FALSE)</f>
        <v>1320</v>
      </c>
      <c r="M346" s="41">
        <f t="shared" si="15"/>
        <v>8</v>
      </c>
      <c r="N346" s="43">
        <f t="shared" si="16"/>
        <v>2640</v>
      </c>
      <c r="O346" s="43">
        <f t="shared" si="17"/>
        <v>2400</v>
      </c>
    </row>
    <row r="347" spans="1:15" x14ac:dyDescent="0.25">
      <c r="A347" s="31">
        <v>41493</v>
      </c>
      <c r="B347" t="s">
        <v>42</v>
      </c>
      <c r="C347" s="30">
        <v>3</v>
      </c>
      <c r="D347" s="30" t="s">
        <v>34</v>
      </c>
      <c r="E347" s="30">
        <v>11</v>
      </c>
      <c r="F347" t="str">
        <f>VLOOKUP(C347,Products!$A$2:$H$16,2,FALSE)</f>
        <v>Glimpses of World History</v>
      </c>
      <c r="G347" t="str">
        <f>VLOOKUP(C347,Products!$A$2:$H$16,3,FALSE)</f>
        <v>Jawaharlal Nehru</v>
      </c>
      <c r="H347" t="str">
        <f>VLOOKUP(C347,Products!$A$2:$H$16,4,FALSE)</f>
        <v>Hard Cover</v>
      </c>
      <c r="I347">
        <f>VLOOKUP(C347,Products!$A$2:$H$16,5,FALSE)</f>
        <v>1934</v>
      </c>
      <c r="J347" s="29">
        <f>VLOOKUP(C347,Products!$A$2:$H$16,6,FALSE)</f>
        <v>750.45899999999995</v>
      </c>
      <c r="K347" s="32">
        <f>VLOOKUP(C347,Products!$A$2:$H$16,7,FALSE)</f>
        <v>0.2</v>
      </c>
      <c r="L347" s="29">
        <f>VLOOKUP(C347,Products!$A$2:$H$16,8,FALSE)</f>
        <v>900.55079999999998</v>
      </c>
      <c r="M347" s="41">
        <f t="shared" si="15"/>
        <v>8</v>
      </c>
      <c r="N347" s="43">
        <f t="shared" si="16"/>
        <v>9906.0587999999989</v>
      </c>
      <c r="O347" s="43">
        <f t="shared" si="17"/>
        <v>8255.0489999999991</v>
      </c>
    </row>
    <row r="348" spans="1:15" x14ac:dyDescent="0.25">
      <c r="A348" s="31">
        <v>41493</v>
      </c>
      <c r="B348" t="s">
        <v>37</v>
      </c>
      <c r="C348" s="30">
        <v>3</v>
      </c>
      <c r="D348" s="30" t="s">
        <v>38</v>
      </c>
      <c r="E348" s="30">
        <v>9</v>
      </c>
      <c r="F348" t="str">
        <f>VLOOKUP(C348,Products!$A$2:$H$16,2,FALSE)</f>
        <v>Glimpses of World History</v>
      </c>
      <c r="G348" t="str">
        <f>VLOOKUP(C348,Products!$A$2:$H$16,3,FALSE)</f>
        <v>Jawaharlal Nehru</v>
      </c>
      <c r="H348" t="str">
        <f>VLOOKUP(C348,Products!$A$2:$H$16,4,FALSE)</f>
        <v>Hard Cover</v>
      </c>
      <c r="I348">
        <f>VLOOKUP(C348,Products!$A$2:$H$16,5,FALSE)</f>
        <v>1934</v>
      </c>
      <c r="J348" s="29">
        <f>VLOOKUP(C348,Products!$A$2:$H$16,6,FALSE)</f>
        <v>750.45899999999995</v>
      </c>
      <c r="K348" s="32">
        <f>VLOOKUP(C348,Products!$A$2:$H$16,7,FALSE)</f>
        <v>0.2</v>
      </c>
      <c r="L348" s="29">
        <f>VLOOKUP(C348,Products!$A$2:$H$16,8,FALSE)</f>
        <v>900.55079999999998</v>
      </c>
      <c r="M348" s="41">
        <f t="shared" si="15"/>
        <v>8</v>
      </c>
      <c r="N348" s="43">
        <f t="shared" si="16"/>
        <v>8104.9571999999998</v>
      </c>
      <c r="O348" s="43">
        <f t="shared" si="17"/>
        <v>6754.1309999999994</v>
      </c>
    </row>
    <row r="349" spans="1:15" x14ac:dyDescent="0.25">
      <c r="A349" s="31">
        <v>41494</v>
      </c>
      <c r="B349" t="s">
        <v>40</v>
      </c>
      <c r="C349" s="30">
        <v>13</v>
      </c>
      <c r="D349" s="30" t="s">
        <v>38</v>
      </c>
      <c r="E349" s="30">
        <v>2</v>
      </c>
      <c r="F349" t="str">
        <f>VLOOKUP(C349,Products!$A$2:$H$16,2,FALSE)</f>
        <v>Glimpses of World History</v>
      </c>
      <c r="G349" t="str">
        <f>VLOOKUP(C349,Products!$A$2:$H$16,3,FALSE)</f>
        <v>Jawaharlal Nehru</v>
      </c>
      <c r="H349" t="str">
        <f>VLOOKUP(C349,Products!$A$2:$H$16,4,FALSE)</f>
        <v>e-book</v>
      </c>
      <c r="I349">
        <f>VLOOKUP(C349,Products!$A$2:$H$16,5,FALSE)</f>
        <v>2005</v>
      </c>
      <c r="J349" s="29">
        <f>VLOOKUP(C349,Products!$A$2:$H$16,6,FALSE)</f>
        <v>300</v>
      </c>
      <c r="K349" s="32">
        <f>VLOOKUP(C349,Products!$A$2:$H$16,7,FALSE)</f>
        <v>0.2</v>
      </c>
      <c r="L349" s="29">
        <f>VLOOKUP(C349,Products!$A$2:$H$16,8,FALSE)</f>
        <v>360</v>
      </c>
      <c r="M349" s="41">
        <f t="shared" si="15"/>
        <v>8</v>
      </c>
      <c r="N349" s="43">
        <f t="shared" si="16"/>
        <v>720</v>
      </c>
      <c r="O349" s="43">
        <f t="shared" si="17"/>
        <v>600</v>
      </c>
    </row>
    <row r="350" spans="1:15" x14ac:dyDescent="0.25">
      <c r="A350" s="31">
        <v>41494</v>
      </c>
      <c r="B350" t="s">
        <v>35</v>
      </c>
      <c r="C350" s="30">
        <v>3</v>
      </c>
      <c r="D350" s="30" t="s">
        <v>34</v>
      </c>
      <c r="E350" s="30">
        <v>15</v>
      </c>
      <c r="F350" t="str">
        <f>VLOOKUP(C350,Products!$A$2:$H$16,2,FALSE)</f>
        <v>Glimpses of World History</v>
      </c>
      <c r="G350" t="str">
        <f>VLOOKUP(C350,Products!$A$2:$H$16,3,FALSE)</f>
        <v>Jawaharlal Nehru</v>
      </c>
      <c r="H350" t="str">
        <f>VLOOKUP(C350,Products!$A$2:$H$16,4,FALSE)</f>
        <v>Hard Cover</v>
      </c>
      <c r="I350">
        <f>VLOOKUP(C350,Products!$A$2:$H$16,5,FALSE)</f>
        <v>1934</v>
      </c>
      <c r="J350" s="29">
        <f>VLOOKUP(C350,Products!$A$2:$H$16,6,FALSE)</f>
        <v>750.45899999999995</v>
      </c>
      <c r="K350" s="32">
        <f>VLOOKUP(C350,Products!$A$2:$H$16,7,FALSE)</f>
        <v>0.2</v>
      </c>
      <c r="L350" s="29">
        <f>VLOOKUP(C350,Products!$A$2:$H$16,8,FALSE)</f>
        <v>900.55079999999998</v>
      </c>
      <c r="M350" s="41">
        <f t="shared" si="15"/>
        <v>8</v>
      </c>
      <c r="N350" s="43">
        <f t="shared" si="16"/>
        <v>13508.261999999999</v>
      </c>
      <c r="O350" s="43">
        <f t="shared" si="17"/>
        <v>11256.884999999998</v>
      </c>
    </row>
    <row r="351" spans="1:15" x14ac:dyDescent="0.25">
      <c r="A351" s="31">
        <v>41494</v>
      </c>
      <c r="B351" t="s">
        <v>42</v>
      </c>
      <c r="C351" s="30">
        <v>5</v>
      </c>
      <c r="D351" s="30" t="s">
        <v>38</v>
      </c>
      <c r="E351" s="30">
        <v>19</v>
      </c>
      <c r="F351" t="str">
        <f>VLOOKUP(C351,Products!$A$2:$H$16,2,FALSE)</f>
        <v>Wings of Fire</v>
      </c>
      <c r="G351" t="str">
        <f>VLOOKUP(C351,Products!$A$2:$H$16,3,FALSE)</f>
        <v>APJ Abdul Kalam,
Arun Tiwari</v>
      </c>
      <c r="H351" t="str">
        <f>VLOOKUP(C351,Products!$A$2:$H$16,4,FALSE)</f>
        <v>Hard Cover</v>
      </c>
      <c r="I351">
        <f>VLOOKUP(C351,Products!$A$2:$H$16,5,FALSE)</f>
        <v>1999</v>
      </c>
      <c r="J351" s="29">
        <f>VLOOKUP(C351,Products!$A$2:$H$16,6,FALSE)</f>
        <v>1275.2488000000001</v>
      </c>
      <c r="K351" s="32">
        <f>VLOOKUP(C351,Products!$A$2:$H$16,7,FALSE)</f>
        <v>0.1</v>
      </c>
      <c r="L351" s="29">
        <f>VLOOKUP(C351,Products!$A$2:$H$16,8,FALSE)</f>
        <v>1402.77368</v>
      </c>
      <c r="M351" s="41">
        <f t="shared" si="15"/>
        <v>8</v>
      </c>
      <c r="N351" s="43">
        <f t="shared" si="16"/>
        <v>26652.699919999999</v>
      </c>
      <c r="O351" s="43">
        <f t="shared" si="17"/>
        <v>24229.727200000001</v>
      </c>
    </row>
    <row r="352" spans="1:15" x14ac:dyDescent="0.25">
      <c r="A352" s="31">
        <v>41494</v>
      </c>
      <c r="B352" t="s">
        <v>35</v>
      </c>
      <c r="C352" s="30">
        <v>1</v>
      </c>
      <c r="D352" s="30" t="s">
        <v>38</v>
      </c>
      <c r="E352" s="30">
        <v>10</v>
      </c>
      <c r="F352" t="str">
        <f>VLOOKUP(C352,Products!$A$2:$H$16,2,FALSE)</f>
        <v>The Discovery of India</v>
      </c>
      <c r="G352" t="str">
        <f>VLOOKUP(C352,Products!$A$2:$H$16,3,FALSE)</f>
        <v>Jawaharlal Nehru</v>
      </c>
      <c r="H352" t="str">
        <f>VLOOKUP(C352,Products!$A$2:$H$16,4,FALSE)</f>
        <v>Hard Cover</v>
      </c>
      <c r="I352">
        <f>VLOOKUP(C352,Products!$A$2:$H$16,5,FALSE)</f>
        <v>1946</v>
      </c>
      <c r="J352" s="29">
        <f>VLOOKUP(C352,Products!$A$2:$H$16,6,FALSE)</f>
        <v>599.95000000000005</v>
      </c>
      <c r="K352" s="32">
        <f>VLOOKUP(C352,Products!$A$2:$H$16,7,FALSE)</f>
        <v>0.3</v>
      </c>
      <c r="L352" s="29">
        <f>VLOOKUP(C352,Products!$A$2:$H$16,8,FALSE)</f>
        <v>779.93500000000006</v>
      </c>
      <c r="M352" s="41">
        <f t="shared" si="15"/>
        <v>8</v>
      </c>
      <c r="N352" s="43">
        <f t="shared" si="16"/>
        <v>7799.35</v>
      </c>
      <c r="O352" s="43">
        <f t="shared" si="17"/>
        <v>5999.5</v>
      </c>
    </row>
    <row r="353" spans="1:15" x14ac:dyDescent="0.25">
      <c r="A353" s="31">
        <v>41495</v>
      </c>
      <c r="B353" t="s">
        <v>35</v>
      </c>
      <c r="C353" s="30">
        <v>11</v>
      </c>
      <c r="D353" s="30" t="s">
        <v>34</v>
      </c>
      <c r="E353" s="30">
        <v>11</v>
      </c>
      <c r="F353" t="str">
        <f>VLOOKUP(C353,Products!$A$2:$H$16,2,FALSE)</f>
        <v>The Discovery of India</v>
      </c>
      <c r="G353" t="str">
        <f>VLOOKUP(C353,Products!$A$2:$H$16,3,FALSE)</f>
        <v>Jawaharlal Nehru</v>
      </c>
      <c r="H353" t="str">
        <f>VLOOKUP(C353,Products!$A$2:$H$16,4,FALSE)</f>
        <v>e-book</v>
      </c>
      <c r="I353">
        <f>VLOOKUP(C353,Products!$A$2:$H$16,5,FALSE)</f>
        <v>2004</v>
      </c>
      <c r="J353" s="29">
        <f>VLOOKUP(C353,Products!$A$2:$H$16,6,FALSE)</f>
        <v>250</v>
      </c>
      <c r="K353" s="32">
        <f>VLOOKUP(C353,Products!$A$2:$H$16,7,FALSE)</f>
        <v>0.3</v>
      </c>
      <c r="L353" s="29">
        <f>VLOOKUP(C353,Products!$A$2:$H$16,8,FALSE)</f>
        <v>325</v>
      </c>
      <c r="M353" s="41">
        <f t="shared" si="15"/>
        <v>8</v>
      </c>
      <c r="N353" s="43">
        <f t="shared" si="16"/>
        <v>3575</v>
      </c>
      <c r="O353" s="43">
        <f t="shared" si="17"/>
        <v>2750</v>
      </c>
    </row>
    <row r="354" spans="1:15" x14ac:dyDescent="0.25">
      <c r="A354" s="31">
        <v>41495</v>
      </c>
      <c r="B354" t="s">
        <v>42</v>
      </c>
      <c r="C354" s="30">
        <v>1</v>
      </c>
      <c r="D354" s="30" t="s">
        <v>38</v>
      </c>
      <c r="E354" s="30">
        <v>13</v>
      </c>
      <c r="F354" t="str">
        <f>VLOOKUP(C354,Products!$A$2:$H$16,2,FALSE)</f>
        <v>The Discovery of India</v>
      </c>
      <c r="G354" t="str">
        <f>VLOOKUP(C354,Products!$A$2:$H$16,3,FALSE)</f>
        <v>Jawaharlal Nehru</v>
      </c>
      <c r="H354" t="str">
        <f>VLOOKUP(C354,Products!$A$2:$H$16,4,FALSE)</f>
        <v>Hard Cover</v>
      </c>
      <c r="I354">
        <f>VLOOKUP(C354,Products!$A$2:$H$16,5,FALSE)</f>
        <v>1946</v>
      </c>
      <c r="J354" s="29">
        <f>VLOOKUP(C354,Products!$A$2:$H$16,6,FALSE)</f>
        <v>599.95000000000005</v>
      </c>
      <c r="K354" s="32">
        <f>VLOOKUP(C354,Products!$A$2:$H$16,7,FALSE)</f>
        <v>0.3</v>
      </c>
      <c r="L354" s="29">
        <f>VLOOKUP(C354,Products!$A$2:$H$16,8,FALSE)</f>
        <v>779.93500000000006</v>
      </c>
      <c r="M354" s="41">
        <f t="shared" si="15"/>
        <v>8</v>
      </c>
      <c r="N354" s="43">
        <f t="shared" si="16"/>
        <v>10139.155000000001</v>
      </c>
      <c r="O354" s="43">
        <f t="shared" si="17"/>
        <v>7799.35</v>
      </c>
    </row>
    <row r="355" spans="1:15" x14ac:dyDescent="0.25">
      <c r="A355" s="31">
        <v>41495</v>
      </c>
      <c r="B355" t="s">
        <v>35</v>
      </c>
      <c r="C355" s="30">
        <v>2</v>
      </c>
      <c r="D355" s="30" t="s">
        <v>34</v>
      </c>
      <c r="E355" s="30">
        <v>5</v>
      </c>
      <c r="F355" t="str">
        <f>VLOOKUP(C355,Products!$A$2:$H$16,2,FALSE)</f>
        <v>The Story of my Experiments with Truth</v>
      </c>
      <c r="G355" t="str">
        <f>VLOOKUP(C355,Products!$A$2:$H$16,3,FALSE)</f>
        <v>Mahatma Gandhi</v>
      </c>
      <c r="H355" t="str">
        <f>VLOOKUP(C355,Products!$A$2:$H$16,4,FALSE)</f>
        <v>Hard Cover</v>
      </c>
      <c r="I355">
        <f>VLOOKUP(C355,Products!$A$2:$H$16,5,FALSE)</f>
        <v>1927</v>
      </c>
      <c r="J355" s="29">
        <f>VLOOKUP(C355,Products!$A$2:$H$16,6,FALSE)</f>
        <v>159</v>
      </c>
      <c r="K355" s="32">
        <f>VLOOKUP(C355,Products!$A$2:$H$16,7,FALSE)</f>
        <v>0.3</v>
      </c>
      <c r="L355" s="29">
        <f>VLOOKUP(C355,Products!$A$2:$H$16,8,FALSE)</f>
        <v>206.7</v>
      </c>
      <c r="M355" s="41">
        <f t="shared" si="15"/>
        <v>8</v>
      </c>
      <c r="N355" s="43">
        <f t="shared" si="16"/>
        <v>1033.5</v>
      </c>
      <c r="O355" s="43">
        <f t="shared" si="17"/>
        <v>795</v>
      </c>
    </row>
    <row r="356" spans="1:15" x14ac:dyDescent="0.25">
      <c r="A356" s="31">
        <v>41496</v>
      </c>
      <c r="B356" t="s">
        <v>36</v>
      </c>
      <c r="C356" s="30">
        <v>13</v>
      </c>
      <c r="D356" s="30" t="s">
        <v>38</v>
      </c>
      <c r="E356" s="30">
        <v>2</v>
      </c>
      <c r="F356" t="str">
        <f>VLOOKUP(C356,Products!$A$2:$H$16,2,FALSE)</f>
        <v>Glimpses of World History</v>
      </c>
      <c r="G356" t="str">
        <f>VLOOKUP(C356,Products!$A$2:$H$16,3,FALSE)</f>
        <v>Jawaharlal Nehru</v>
      </c>
      <c r="H356" t="str">
        <f>VLOOKUP(C356,Products!$A$2:$H$16,4,FALSE)</f>
        <v>e-book</v>
      </c>
      <c r="I356">
        <f>VLOOKUP(C356,Products!$A$2:$H$16,5,FALSE)</f>
        <v>2005</v>
      </c>
      <c r="J356" s="29">
        <f>VLOOKUP(C356,Products!$A$2:$H$16,6,FALSE)</f>
        <v>300</v>
      </c>
      <c r="K356" s="32">
        <f>VLOOKUP(C356,Products!$A$2:$H$16,7,FALSE)</f>
        <v>0.2</v>
      </c>
      <c r="L356" s="29">
        <f>VLOOKUP(C356,Products!$A$2:$H$16,8,FALSE)</f>
        <v>360</v>
      </c>
      <c r="M356" s="41">
        <f t="shared" si="15"/>
        <v>8</v>
      </c>
      <c r="N356" s="43">
        <f t="shared" si="16"/>
        <v>720</v>
      </c>
      <c r="O356" s="43">
        <f t="shared" si="17"/>
        <v>600</v>
      </c>
    </row>
    <row r="357" spans="1:15" x14ac:dyDescent="0.25">
      <c r="A357" s="31">
        <v>41496</v>
      </c>
      <c r="B357" t="s">
        <v>42</v>
      </c>
      <c r="C357" s="30">
        <v>1</v>
      </c>
      <c r="D357" s="30" t="s">
        <v>34</v>
      </c>
      <c r="E357" s="30">
        <v>13</v>
      </c>
      <c r="F357" t="str">
        <f>VLOOKUP(C357,Products!$A$2:$H$16,2,FALSE)</f>
        <v>The Discovery of India</v>
      </c>
      <c r="G357" t="str">
        <f>VLOOKUP(C357,Products!$A$2:$H$16,3,FALSE)</f>
        <v>Jawaharlal Nehru</v>
      </c>
      <c r="H357" t="str">
        <f>VLOOKUP(C357,Products!$A$2:$H$16,4,FALSE)</f>
        <v>Hard Cover</v>
      </c>
      <c r="I357">
        <f>VLOOKUP(C357,Products!$A$2:$H$16,5,FALSE)</f>
        <v>1946</v>
      </c>
      <c r="J357" s="29">
        <f>VLOOKUP(C357,Products!$A$2:$H$16,6,FALSE)</f>
        <v>599.95000000000005</v>
      </c>
      <c r="K357" s="32">
        <f>VLOOKUP(C357,Products!$A$2:$H$16,7,FALSE)</f>
        <v>0.3</v>
      </c>
      <c r="L357" s="29">
        <f>VLOOKUP(C357,Products!$A$2:$H$16,8,FALSE)</f>
        <v>779.93500000000006</v>
      </c>
      <c r="M357" s="41">
        <f t="shared" si="15"/>
        <v>8</v>
      </c>
      <c r="N357" s="43">
        <f t="shared" si="16"/>
        <v>10139.155000000001</v>
      </c>
      <c r="O357" s="43">
        <f t="shared" si="17"/>
        <v>7799.35</v>
      </c>
    </row>
    <row r="358" spans="1:15" x14ac:dyDescent="0.25">
      <c r="A358" s="31">
        <v>41497</v>
      </c>
      <c r="B358" t="s">
        <v>33</v>
      </c>
      <c r="C358" s="30">
        <v>3</v>
      </c>
      <c r="D358" s="30" t="s">
        <v>34</v>
      </c>
      <c r="E358" s="30">
        <v>11</v>
      </c>
      <c r="F358" t="str">
        <f>VLOOKUP(C358,Products!$A$2:$H$16,2,FALSE)</f>
        <v>Glimpses of World History</v>
      </c>
      <c r="G358" t="str">
        <f>VLOOKUP(C358,Products!$A$2:$H$16,3,FALSE)</f>
        <v>Jawaharlal Nehru</v>
      </c>
      <c r="H358" t="str">
        <f>VLOOKUP(C358,Products!$A$2:$H$16,4,FALSE)</f>
        <v>Hard Cover</v>
      </c>
      <c r="I358">
        <f>VLOOKUP(C358,Products!$A$2:$H$16,5,FALSE)</f>
        <v>1934</v>
      </c>
      <c r="J358" s="29">
        <f>VLOOKUP(C358,Products!$A$2:$H$16,6,FALSE)</f>
        <v>750.45899999999995</v>
      </c>
      <c r="K358" s="32">
        <f>VLOOKUP(C358,Products!$A$2:$H$16,7,FALSE)</f>
        <v>0.2</v>
      </c>
      <c r="L358" s="29">
        <f>VLOOKUP(C358,Products!$A$2:$H$16,8,FALSE)</f>
        <v>900.55079999999998</v>
      </c>
      <c r="M358" s="41">
        <f t="shared" si="15"/>
        <v>8</v>
      </c>
      <c r="N358" s="43">
        <f t="shared" si="16"/>
        <v>9906.0587999999989</v>
      </c>
      <c r="O358" s="43">
        <f t="shared" si="17"/>
        <v>8255.0489999999991</v>
      </c>
    </row>
    <row r="359" spans="1:15" x14ac:dyDescent="0.25">
      <c r="A359" s="31">
        <v>41497</v>
      </c>
      <c r="B359" t="s">
        <v>41</v>
      </c>
      <c r="C359" s="30">
        <v>2</v>
      </c>
      <c r="D359" s="30" t="s">
        <v>34</v>
      </c>
      <c r="E359" s="30">
        <v>13</v>
      </c>
      <c r="F359" t="str">
        <f>VLOOKUP(C359,Products!$A$2:$H$16,2,FALSE)</f>
        <v>The Story of my Experiments with Truth</v>
      </c>
      <c r="G359" t="str">
        <f>VLOOKUP(C359,Products!$A$2:$H$16,3,FALSE)</f>
        <v>Mahatma Gandhi</v>
      </c>
      <c r="H359" t="str">
        <f>VLOOKUP(C359,Products!$A$2:$H$16,4,FALSE)</f>
        <v>Hard Cover</v>
      </c>
      <c r="I359">
        <f>VLOOKUP(C359,Products!$A$2:$H$16,5,FALSE)</f>
        <v>1927</v>
      </c>
      <c r="J359" s="29">
        <f>VLOOKUP(C359,Products!$A$2:$H$16,6,FALSE)</f>
        <v>159</v>
      </c>
      <c r="K359" s="32">
        <f>VLOOKUP(C359,Products!$A$2:$H$16,7,FALSE)</f>
        <v>0.3</v>
      </c>
      <c r="L359" s="29">
        <f>VLOOKUP(C359,Products!$A$2:$H$16,8,FALSE)</f>
        <v>206.7</v>
      </c>
      <c r="M359" s="41">
        <f t="shared" si="15"/>
        <v>8</v>
      </c>
      <c r="N359" s="43">
        <f t="shared" si="16"/>
        <v>2687.1</v>
      </c>
      <c r="O359" s="43">
        <f t="shared" si="17"/>
        <v>2067</v>
      </c>
    </row>
    <row r="360" spans="1:15" x14ac:dyDescent="0.25">
      <c r="A360" s="31">
        <v>41499</v>
      </c>
      <c r="B360" t="s">
        <v>40</v>
      </c>
      <c r="C360" s="30">
        <v>8</v>
      </c>
      <c r="D360" s="30" t="s">
        <v>34</v>
      </c>
      <c r="E360" s="30">
        <v>18</v>
      </c>
      <c r="F360" t="str">
        <f>VLOOKUP(C360,Products!$A$2:$H$16,2,FALSE)</f>
        <v>Glimpses of World History</v>
      </c>
      <c r="G360" t="str">
        <f>VLOOKUP(C360,Products!$A$2:$H$16,3,FALSE)</f>
        <v>Jawaharlal Nehru</v>
      </c>
      <c r="H360" t="str">
        <f>VLOOKUP(C360,Products!$A$2:$H$16,4,FALSE)</f>
        <v>Soft Cover</v>
      </c>
      <c r="I360">
        <f>VLOOKUP(C360,Products!$A$2:$H$16,5,FALSE)</f>
        <v>1934</v>
      </c>
      <c r="J360" s="29">
        <f>VLOOKUP(C360,Products!$A$2:$H$16,6,FALSE)</f>
        <v>650</v>
      </c>
      <c r="K360" s="32">
        <f>VLOOKUP(C360,Products!$A$2:$H$16,7,FALSE)</f>
        <v>0.2</v>
      </c>
      <c r="L360" s="29">
        <f>VLOOKUP(C360,Products!$A$2:$H$16,8,FALSE)</f>
        <v>780</v>
      </c>
      <c r="M360" s="41">
        <f t="shared" si="15"/>
        <v>8</v>
      </c>
      <c r="N360" s="43">
        <f t="shared" si="16"/>
        <v>14040</v>
      </c>
      <c r="O360" s="43">
        <f t="shared" si="17"/>
        <v>11700</v>
      </c>
    </row>
    <row r="361" spans="1:15" x14ac:dyDescent="0.25">
      <c r="A361" s="31">
        <v>41499</v>
      </c>
      <c r="B361" t="s">
        <v>36</v>
      </c>
      <c r="C361" s="30">
        <v>10</v>
      </c>
      <c r="D361" s="30" t="s">
        <v>34</v>
      </c>
      <c r="E361" s="30">
        <v>9</v>
      </c>
      <c r="F361" t="str">
        <f>VLOOKUP(C361,Products!$A$2:$H$16,2,FALSE)</f>
        <v>Wings of Fire</v>
      </c>
      <c r="G361" t="str">
        <f>VLOOKUP(C361,Products!$A$2:$H$16,3,FALSE)</f>
        <v>APJ Abdul Kalam,
Arun Tiwari</v>
      </c>
      <c r="H361" t="str">
        <f>VLOOKUP(C361,Products!$A$2:$H$16,4,FALSE)</f>
        <v>Soft Cover</v>
      </c>
      <c r="I361">
        <f>VLOOKUP(C361,Products!$A$2:$H$16,5,FALSE)</f>
        <v>1999</v>
      </c>
      <c r="J361" s="29">
        <f>VLOOKUP(C361,Products!$A$2:$H$16,6,FALSE)</f>
        <v>1200</v>
      </c>
      <c r="K361" s="32">
        <f>VLOOKUP(C361,Products!$A$2:$H$16,7,FALSE)</f>
        <v>0.1</v>
      </c>
      <c r="L361" s="29">
        <f>VLOOKUP(C361,Products!$A$2:$H$16,8,FALSE)</f>
        <v>1320</v>
      </c>
      <c r="M361" s="41">
        <f t="shared" si="15"/>
        <v>8</v>
      </c>
      <c r="N361" s="43">
        <f t="shared" si="16"/>
        <v>11880</v>
      </c>
      <c r="O361" s="43">
        <f t="shared" si="17"/>
        <v>10800</v>
      </c>
    </row>
    <row r="362" spans="1:15" x14ac:dyDescent="0.25">
      <c r="A362" s="31">
        <v>41500</v>
      </c>
      <c r="B362" t="s">
        <v>39</v>
      </c>
      <c r="C362" s="30">
        <v>8</v>
      </c>
      <c r="D362" s="30" t="s">
        <v>34</v>
      </c>
      <c r="E362" s="30">
        <v>9</v>
      </c>
      <c r="F362" t="str">
        <f>VLOOKUP(C362,Products!$A$2:$H$16,2,FALSE)</f>
        <v>Glimpses of World History</v>
      </c>
      <c r="G362" t="str">
        <f>VLOOKUP(C362,Products!$A$2:$H$16,3,FALSE)</f>
        <v>Jawaharlal Nehru</v>
      </c>
      <c r="H362" t="str">
        <f>VLOOKUP(C362,Products!$A$2:$H$16,4,FALSE)</f>
        <v>Soft Cover</v>
      </c>
      <c r="I362">
        <f>VLOOKUP(C362,Products!$A$2:$H$16,5,FALSE)</f>
        <v>1934</v>
      </c>
      <c r="J362" s="29">
        <f>VLOOKUP(C362,Products!$A$2:$H$16,6,FALSE)</f>
        <v>650</v>
      </c>
      <c r="K362" s="32">
        <f>VLOOKUP(C362,Products!$A$2:$H$16,7,FALSE)</f>
        <v>0.2</v>
      </c>
      <c r="L362" s="29">
        <f>VLOOKUP(C362,Products!$A$2:$H$16,8,FALSE)</f>
        <v>780</v>
      </c>
      <c r="M362" s="41">
        <f t="shared" si="15"/>
        <v>8</v>
      </c>
      <c r="N362" s="43">
        <f t="shared" si="16"/>
        <v>7020</v>
      </c>
      <c r="O362" s="43">
        <f t="shared" si="17"/>
        <v>5850</v>
      </c>
    </row>
    <row r="363" spans="1:15" x14ac:dyDescent="0.25">
      <c r="A363" s="31">
        <v>41502</v>
      </c>
      <c r="B363" t="s">
        <v>35</v>
      </c>
      <c r="C363" s="30">
        <v>9</v>
      </c>
      <c r="D363" s="30" t="s">
        <v>38</v>
      </c>
      <c r="E363" s="30">
        <v>5</v>
      </c>
      <c r="F363" t="str">
        <f>VLOOKUP(C363,Products!$A$2:$H$16,2,FALSE)</f>
        <v>A Guide to Health</v>
      </c>
      <c r="G363" t="str">
        <f>VLOOKUP(C363,Products!$A$2:$H$16,3,FALSE)</f>
        <v>Mahatma Gandhi</v>
      </c>
      <c r="H363" t="str">
        <f>VLOOKUP(C363,Products!$A$2:$H$16,4,FALSE)</f>
        <v>Soft Cover</v>
      </c>
      <c r="I363">
        <f>VLOOKUP(C363,Products!$A$2:$H$16,5,FALSE)</f>
        <v>1921</v>
      </c>
      <c r="J363" s="29">
        <f>VLOOKUP(C363,Products!$A$2:$H$16,6,FALSE)</f>
        <v>220</v>
      </c>
      <c r="K363" s="32">
        <f>VLOOKUP(C363,Products!$A$2:$H$16,7,FALSE)</f>
        <v>0.15</v>
      </c>
      <c r="L363" s="29">
        <f>VLOOKUP(C363,Products!$A$2:$H$16,8,FALSE)</f>
        <v>253</v>
      </c>
      <c r="M363" s="41">
        <f t="shared" si="15"/>
        <v>8</v>
      </c>
      <c r="N363" s="43">
        <f t="shared" si="16"/>
        <v>1265</v>
      </c>
      <c r="O363" s="43">
        <f t="shared" si="17"/>
        <v>1100</v>
      </c>
    </row>
    <row r="364" spans="1:15" x14ac:dyDescent="0.25">
      <c r="A364" s="31">
        <v>41504</v>
      </c>
      <c r="B364" t="s">
        <v>41</v>
      </c>
      <c r="C364" s="30">
        <v>11</v>
      </c>
      <c r="D364" s="30" t="s">
        <v>38</v>
      </c>
      <c r="E364" s="30">
        <v>20</v>
      </c>
      <c r="F364" t="str">
        <f>VLOOKUP(C364,Products!$A$2:$H$16,2,FALSE)</f>
        <v>The Discovery of India</v>
      </c>
      <c r="G364" t="str">
        <f>VLOOKUP(C364,Products!$A$2:$H$16,3,FALSE)</f>
        <v>Jawaharlal Nehru</v>
      </c>
      <c r="H364" t="str">
        <f>VLOOKUP(C364,Products!$A$2:$H$16,4,FALSE)</f>
        <v>e-book</v>
      </c>
      <c r="I364">
        <f>VLOOKUP(C364,Products!$A$2:$H$16,5,FALSE)</f>
        <v>2004</v>
      </c>
      <c r="J364" s="29">
        <f>VLOOKUP(C364,Products!$A$2:$H$16,6,FALSE)</f>
        <v>250</v>
      </c>
      <c r="K364" s="32">
        <f>VLOOKUP(C364,Products!$A$2:$H$16,7,FALSE)</f>
        <v>0.3</v>
      </c>
      <c r="L364" s="29">
        <f>VLOOKUP(C364,Products!$A$2:$H$16,8,FALSE)</f>
        <v>325</v>
      </c>
      <c r="M364" s="41">
        <f t="shared" si="15"/>
        <v>8</v>
      </c>
      <c r="N364" s="43">
        <f t="shared" si="16"/>
        <v>6500</v>
      </c>
      <c r="O364" s="43">
        <f t="shared" si="17"/>
        <v>5000</v>
      </c>
    </row>
    <row r="365" spans="1:15" x14ac:dyDescent="0.25">
      <c r="A365" s="31">
        <v>41505</v>
      </c>
      <c r="B365" t="s">
        <v>40</v>
      </c>
      <c r="C365" s="30">
        <v>5</v>
      </c>
      <c r="D365" s="30" t="s">
        <v>38</v>
      </c>
      <c r="E365" s="30">
        <v>6</v>
      </c>
      <c r="F365" t="str">
        <f>VLOOKUP(C365,Products!$A$2:$H$16,2,FALSE)</f>
        <v>Wings of Fire</v>
      </c>
      <c r="G365" t="str">
        <f>VLOOKUP(C365,Products!$A$2:$H$16,3,FALSE)</f>
        <v>APJ Abdul Kalam,
Arun Tiwari</v>
      </c>
      <c r="H365" t="str">
        <f>VLOOKUP(C365,Products!$A$2:$H$16,4,FALSE)</f>
        <v>Hard Cover</v>
      </c>
      <c r="I365">
        <f>VLOOKUP(C365,Products!$A$2:$H$16,5,FALSE)</f>
        <v>1999</v>
      </c>
      <c r="J365" s="29">
        <f>VLOOKUP(C365,Products!$A$2:$H$16,6,FALSE)</f>
        <v>1275.2488000000001</v>
      </c>
      <c r="K365" s="32">
        <f>VLOOKUP(C365,Products!$A$2:$H$16,7,FALSE)</f>
        <v>0.1</v>
      </c>
      <c r="L365" s="29">
        <f>VLOOKUP(C365,Products!$A$2:$H$16,8,FALSE)</f>
        <v>1402.77368</v>
      </c>
      <c r="M365" s="41">
        <f t="shared" si="15"/>
        <v>8</v>
      </c>
      <c r="N365" s="43">
        <f t="shared" si="16"/>
        <v>8416.6420799999996</v>
      </c>
      <c r="O365" s="43">
        <f t="shared" si="17"/>
        <v>7651.4928</v>
      </c>
    </row>
    <row r="366" spans="1:15" x14ac:dyDescent="0.25">
      <c r="A366" s="31">
        <v>41506</v>
      </c>
      <c r="B366" t="s">
        <v>41</v>
      </c>
      <c r="C366" s="30">
        <v>14</v>
      </c>
      <c r="D366" s="30" t="s">
        <v>38</v>
      </c>
      <c r="E366" s="30">
        <v>3</v>
      </c>
      <c r="F366" t="str">
        <f>VLOOKUP(C366,Products!$A$2:$H$16,2,FALSE)</f>
        <v>A Guide to Health</v>
      </c>
      <c r="G366" t="str">
        <f>VLOOKUP(C366,Products!$A$2:$H$16,3,FALSE)</f>
        <v>Mahatma Gandhi</v>
      </c>
      <c r="H366" t="str">
        <f>VLOOKUP(C366,Products!$A$2:$H$16,4,FALSE)</f>
        <v>e-book</v>
      </c>
      <c r="I366">
        <f>VLOOKUP(C366,Products!$A$2:$H$16,5,FALSE)</f>
        <v>2005</v>
      </c>
      <c r="J366" s="29">
        <f>VLOOKUP(C366,Products!$A$2:$H$16,6,FALSE)</f>
        <v>105</v>
      </c>
      <c r="K366" s="32">
        <f>VLOOKUP(C366,Products!$A$2:$H$16,7,FALSE)</f>
        <v>0.15</v>
      </c>
      <c r="L366" s="29">
        <f>VLOOKUP(C366,Products!$A$2:$H$16,8,FALSE)</f>
        <v>120.75</v>
      </c>
      <c r="M366" s="41">
        <f t="shared" si="15"/>
        <v>8</v>
      </c>
      <c r="N366" s="43">
        <f t="shared" si="16"/>
        <v>362.25</v>
      </c>
      <c r="O366" s="43">
        <f t="shared" si="17"/>
        <v>315</v>
      </c>
    </row>
    <row r="367" spans="1:15" x14ac:dyDescent="0.25">
      <c r="A367" s="31">
        <v>41506</v>
      </c>
      <c r="B367" t="s">
        <v>40</v>
      </c>
      <c r="C367" s="30">
        <v>3</v>
      </c>
      <c r="D367" s="30" t="s">
        <v>38</v>
      </c>
      <c r="E367" s="30">
        <v>2</v>
      </c>
      <c r="F367" t="str">
        <f>VLOOKUP(C367,Products!$A$2:$H$16,2,FALSE)</f>
        <v>Glimpses of World History</v>
      </c>
      <c r="G367" t="str">
        <f>VLOOKUP(C367,Products!$A$2:$H$16,3,FALSE)</f>
        <v>Jawaharlal Nehru</v>
      </c>
      <c r="H367" t="str">
        <f>VLOOKUP(C367,Products!$A$2:$H$16,4,FALSE)</f>
        <v>Hard Cover</v>
      </c>
      <c r="I367">
        <f>VLOOKUP(C367,Products!$A$2:$H$16,5,FALSE)</f>
        <v>1934</v>
      </c>
      <c r="J367" s="29">
        <f>VLOOKUP(C367,Products!$A$2:$H$16,6,FALSE)</f>
        <v>750.45899999999995</v>
      </c>
      <c r="K367" s="32">
        <f>VLOOKUP(C367,Products!$A$2:$H$16,7,FALSE)</f>
        <v>0.2</v>
      </c>
      <c r="L367" s="29">
        <f>VLOOKUP(C367,Products!$A$2:$H$16,8,FALSE)</f>
        <v>900.55079999999998</v>
      </c>
      <c r="M367" s="41">
        <f t="shared" si="15"/>
        <v>8</v>
      </c>
      <c r="N367" s="43">
        <f t="shared" si="16"/>
        <v>1801.1016</v>
      </c>
      <c r="O367" s="43">
        <f t="shared" si="17"/>
        <v>1500.9179999999999</v>
      </c>
    </row>
    <row r="368" spans="1:15" x14ac:dyDescent="0.25">
      <c r="A368" s="31">
        <v>41506</v>
      </c>
      <c r="B368" t="s">
        <v>35</v>
      </c>
      <c r="C368" s="30">
        <v>2</v>
      </c>
      <c r="D368" s="30" t="s">
        <v>38</v>
      </c>
      <c r="E368" s="30">
        <v>13</v>
      </c>
      <c r="F368" t="str">
        <f>VLOOKUP(C368,Products!$A$2:$H$16,2,FALSE)</f>
        <v>The Story of my Experiments with Truth</v>
      </c>
      <c r="G368" t="str">
        <f>VLOOKUP(C368,Products!$A$2:$H$16,3,FALSE)</f>
        <v>Mahatma Gandhi</v>
      </c>
      <c r="H368" t="str">
        <f>VLOOKUP(C368,Products!$A$2:$H$16,4,FALSE)</f>
        <v>Hard Cover</v>
      </c>
      <c r="I368">
        <f>VLOOKUP(C368,Products!$A$2:$H$16,5,FALSE)</f>
        <v>1927</v>
      </c>
      <c r="J368" s="29">
        <f>VLOOKUP(C368,Products!$A$2:$H$16,6,FALSE)</f>
        <v>159</v>
      </c>
      <c r="K368" s="32">
        <f>VLOOKUP(C368,Products!$A$2:$H$16,7,FALSE)</f>
        <v>0.3</v>
      </c>
      <c r="L368" s="29">
        <f>VLOOKUP(C368,Products!$A$2:$H$16,8,FALSE)</f>
        <v>206.7</v>
      </c>
      <c r="M368" s="41">
        <f t="shared" si="15"/>
        <v>8</v>
      </c>
      <c r="N368" s="43">
        <f t="shared" si="16"/>
        <v>2687.1</v>
      </c>
      <c r="O368" s="43">
        <f t="shared" si="17"/>
        <v>2067</v>
      </c>
    </row>
    <row r="369" spans="1:15" x14ac:dyDescent="0.25">
      <c r="A369" s="31">
        <v>41506</v>
      </c>
      <c r="B369" t="s">
        <v>37</v>
      </c>
      <c r="C369" s="30">
        <v>6</v>
      </c>
      <c r="D369" s="30" t="s">
        <v>34</v>
      </c>
      <c r="E369" s="30">
        <v>16</v>
      </c>
      <c r="F369" t="str">
        <f>VLOOKUP(C369,Products!$A$2:$H$16,2,FALSE)</f>
        <v>The Discovery of India</v>
      </c>
      <c r="G369" t="str">
        <f>VLOOKUP(C369,Products!$A$2:$H$16,3,FALSE)</f>
        <v>Jawaharlal Nehru</v>
      </c>
      <c r="H369" t="str">
        <f>VLOOKUP(C369,Products!$A$2:$H$16,4,FALSE)</f>
        <v>Soft Cover</v>
      </c>
      <c r="I369">
        <f>VLOOKUP(C369,Products!$A$2:$H$16,5,FALSE)</f>
        <v>1946</v>
      </c>
      <c r="J369" s="29">
        <f>VLOOKUP(C369,Products!$A$2:$H$16,6,FALSE)</f>
        <v>499</v>
      </c>
      <c r="K369" s="32">
        <f>VLOOKUP(C369,Products!$A$2:$H$16,7,FALSE)</f>
        <v>0.3</v>
      </c>
      <c r="L369" s="29">
        <f>VLOOKUP(C369,Products!$A$2:$H$16,8,FALSE)</f>
        <v>648.70000000000005</v>
      </c>
      <c r="M369" s="41">
        <f t="shared" si="15"/>
        <v>8</v>
      </c>
      <c r="N369" s="43">
        <f t="shared" si="16"/>
        <v>10379.200000000001</v>
      </c>
      <c r="O369" s="43">
        <f t="shared" si="17"/>
        <v>7984</v>
      </c>
    </row>
    <row r="370" spans="1:15" x14ac:dyDescent="0.25">
      <c r="A370" s="31">
        <v>41506</v>
      </c>
      <c r="B370" t="s">
        <v>42</v>
      </c>
      <c r="C370" s="30">
        <v>12</v>
      </c>
      <c r="D370" s="30" t="s">
        <v>34</v>
      </c>
      <c r="E370" s="30">
        <v>6</v>
      </c>
      <c r="F370" t="str">
        <f>VLOOKUP(C370,Products!$A$2:$H$16,2,FALSE)</f>
        <v>The Story of my Experiments with Truth</v>
      </c>
      <c r="G370" t="str">
        <f>VLOOKUP(C370,Products!$A$2:$H$16,3,FALSE)</f>
        <v>Mahatma Gandhi</v>
      </c>
      <c r="H370" t="str">
        <f>VLOOKUP(C370,Products!$A$2:$H$16,4,FALSE)</f>
        <v>e-book</v>
      </c>
      <c r="I370">
        <f>VLOOKUP(C370,Products!$A$2:$H$16,5,FALSE)</f>
        <v>2004</v>
      </c>
      <c r="J370" s="29">
        <f>VLOOKUP(C370,Products!$A$2:$H$16,6,FALSE)</f>
        <v>50</v>
      </c>
      <c r="K370" s="32">
        <f>VLOOKUP(C370,Products!$A$2:$H$16,7,FALSE)</f>
        <v>0.3</v>
      </c>
      <c r="L370" s="29">
        <f>VLOOKUP(C370,Products!$A$2:$H$16,8,FALSE)</f>
        <v>65</v>
      </c>
      <c r="M370" s="41">
        <f t="shared" si="15"/>
        <v>8</v>
      </c>
      <c r="N370" s="43">
        <f t="shared" si="16"/>
        <v>390</v>
      </c>
      <c r="O370" s="43">
        <f t="shared" si="17"/>
        <v>300</v>
      </c>
    </row>
    <row r="371" spans="1:15" x14ac:dyDescent="0.25">
      <c r="A371" s="31">
        <v>41506</v>
      </c>
      <c r="B371" t="s">
        <v>40</v>
      </c>
      <c r="C371" s="30">
        <v>9</v>
      </c>
      <c r="D371" s="30" t="s">
        <v>38</v>
      </c>
      <c r="E371" s="30">
        <v>17</v>
      </c>
      <c r="F371" t="str">
        <f>VLOOKUP(C371,Products!$A$2:$H$16,2,FALSE)</f>
        <v>A Guide to Health</v>
      </c>
      <c r="G371" t="str">
        <f>VLOOKUP(C371,Products!$A$2:$H$16,3,FALSE)</f>
        <v>Mahatma Gandhi</v>
      </c>
      <c r="H371" t="str">
        <f>VLOOKUP(C371,Products!$A$2:$H$16,4,FALSE)</f>
        <v>Soft Cover</v>
      </c>
      <c r="I371">
        <f>VLOOKUP(C371,Products!$A$2:$H$16,5,FALSE)</f>
        <v>1921</v>
      </c>
      <c r="J371" s="29">
        <f>VLOOKUP(C371,Products!$A$2:$H$16,6,FALSE)</f>
        <v>220</v>
      </c>
      <c r="K371" s="32">
        <f>VLOOKUP(C371,Products!$A$2:$H$16,7,FALSE)</f>
        <v>0.15</v>
      </c>
      <c r="L371" s="29">
        <f>VLOOKUP(C371,Products!$A$2:$H$16,8,FALSE)</f>
        <v>253</v>
      </c>
      <c r="M371" s="41">
        <f t="shared" si="15"/>
        <v>8</v>
      </c>
      <c r="N371" s="43">
        <f t="shared" si="16"/>
        <v>4301</v>
      </c>
      <c r="O371" s="43">
        <f t="shared" si="17"/>
        <v>3740</v>
      </c>
    </row>
    <row r="372" spans="1:15" x14ac:dyDescent="0.25">
      <c r="A372" s="31">
        <v>41507</v>
      </c>
      <c r="B372" t="s">
        <v>33</v>
      </c>
      <c r="C372" s="30">
        <v>15</v>
      </c>
      <c r="D372" s="30" t="s">
        <v>34</v>
      </c>
      <c r="E372" s="30">
        <v>1</v>
      </c>
      <c r="F372" t="str">
        <f>VLOOKUP(C372,Products!$A$2:$H$16,2,FALSE)</f>
        <v>Wings of Fire</v>
      </c>
      <c r="G372" t="str">
        <f>VLOOKUP(C372,Products!$A$2:$H$16,3,FALSE)</f>
        <v>APJ Abdul Kalam,
Arun Tiwari</v>
      </c>
      <c r="H372" t="str">
        <f>VLOOKUP(C372,Products!$A$2:$H$16,4,FALSE)</f>
        <v>e-book</v>
      </c>
      <c r="I372">
        <f>VLOOKUP(C372,Products!$A$2:$H$16,5,FALSE)</f>
        <v>2005</v>
      </c>
      <c r="J372" s="29">
        <f>VLOOKUP(C372,Products!$A$2:$H$16,6,FALSE)</f>
        <v>500</v>
      </c>
      <c r="K372" s="32">
        <f>VLOOKUP(C372,Products!$A$2:$H$16,7,FALSE)</f>
        <v>0.1</v>
      </c>
      <c r="L372" s="29">
        <f>VLOOKUP(C372,Products!$A$2:$H$16,8,FALSE)</f>
        <v>550</v>
      </c>
      <c r="M372" s="41">
        <f t="shared" si="15"/>
        <v>8</v>
      </c>
      <c r="N372" s="43">
        <f t="shared" si="16"/>
        <v>550</v>
      </c>
      <c r="O372" s="43">
        <f t="shared" si="17"/>
        <v>500</v>
      </c>
    </row>
    <row r="373" spans="1:15" x14ac:dyDescent="0.25">
      <c r="A373" s="31">
        <v>41508</v>
      </c>
      <c r="B373" t="s">
        <v>37</v>
      </c>
      <c r="C373" s="30">
        <v>8</v>
      </c>
      <c r="D373" s="30" t="s">
        <v>34</v>
      </c>
      <c r="E373" s="30">
        <v>2</v>
      </c>
      <c r="F373" t="str">
        <f>VLOOKUP(C373,Products!$A$2:$H$16,2,FALSE)</f>
        <v>Glimpses of World History</v>
      </c>
      <c r="G373" t="str">
        <f>VLOOKUP(C373,Products!$A$2:$H$16,3,FALSE)</f>
        <v>Jawaharlal Nehru</v>
      </c>
      <c r="H373" t="str">
        <f>VLOOKUP(C373,Products!$A$2:$H$16,4,FALSE)</f>
        <v>Soft Cover</v>
      </c>
      <c r="I373">
        <f>VLOOKUP(C373,Products!$A$2:$H$16,5,FALSE)</f>
        <v>1934</v>
      </c>
      <c r="J373" s="29">
        <f>VLOOKUP(C373,Products!$A$2:$H$16,6,FALSE)</f>
        <v>650</v>
      </c>
      <c r="K373" s="32">
        <f>VLOOKUP(C373,Products!$A$2:$H$16,7,FALSE)</f>
        <v>0.2</v>
      </c>
      <c r="L373" s="29">
        <f>VLOOKUP(C373,Products!$A$2:$H$16,8,FALSE)</f>
        <v>780</v>
      </c>
      <c r="M373" s="41">
        <f t="shared" si="15"/>
        <v>8</v>
      </c>
      <c r="N373" s="43">
        <f t="shared" si="16"/>
        <v>1560</v>
      </c>
      <c r="O373" s="43">
        <f t="shared" si="17"/>
        <v>1300</v>
      </c>
    </row>
    <row r="374" spans="1:15" x14ac:dyDescent="0.25">
      <c r="A374" s="31">
        <v>41508</v>
      </c>
      <c r="B374" t="s">
        <v>40</v>
      </c>
      <c r="C374" s="30">
        <v>2</v>
      </c>
      <c r="D374" s="30" t="s">
        <v>34</v>
      </c>
      <c r="E374" s="30">
        <v>2</v>
      </c>
      <c r="F374" t="str">
        <f>VLOOKUP(C374,Products!$A$2:$H$16,2,FALSE)</f>
        <v>The Story of my Experiments with Truth</v>
      </c>
      <c r="G374" t="str">
        <f>VLOOKUP(C374,Products!$A$2:$H$16,3,FALSE)</f>
        <v>Mahatma Gandhi</v>
      </c>
      <c r="H374" t="str">
        <f>VLOOKUP(C374,Products!$A$2:$H$16,4,FALSE)</f>
        <v>Hard Cover</v>
      </c>
      <c r="I374">
        <f>VLOOKUP(C374,Products!$A$2:$H$16,5,FALSE)</f>
        <v>1927</v>
      </c>
      <c r="J374" s="29">
        <f>VLOOKUP(C374,Products!$A$2:$H$16,6,FALSE)</f>
        <v>159</v>
      </c>
      <c r="K374" s="32">
        <f>VLOOKUP(C374,Products!$A$2:$H$16,7,FALSE)</f>
        <v>0.3</v>
      </c>
      <c r="L374" s="29">
        <f>VLOOKUP(C374,Products!$A$2:$H$16,8,FALSE)</f>
        <v>206.7</v>
      </c>
      <c r="M374" s="41">
        <f t="shared" si="15"/>
        <v>8</v>
      </c>
      <c r="N374" s="43">
        <f t="shared" si="16"/>
        <v>413.4</v>
      </c>
      <c r="O374" s="43">
        <f t="shared" si="17"/>
        <v>318</v>
      </c>
    </row>
    <row r="375" spans="1:15" x14ac:dyDescent="0.25">
      <c r="A375" s="31">
        <v>41508</v>
      </c>
      <c r="B375" t="s">
        <v>42</v>
      </c>
      <c r="C375" s="30">
        <v>3</v>
      </c>
      <c r="D375" s="30" t="s">
        <v>34</v>
      </c>
      <c r="E375" s="30">
        <v>14</v>
      </c>
      <c r="F375" t="str">
        <f>VLOOKUP(C375,Products!$A$2:$H$16,2,FALSE)</f>
        <v>Glimpses of World History</v>
      </c>
      <c r="G375" t="str">
        <f>VLOOKUP(C375,Products!$A$2:$H$16,3,FALSE)</f>
        <v>Jawaharlal Nehru</v>
      </c>
      <c r="H375" t="str">
        <f>VLOOKUP(C375,Products!$A$2:$H$16,4,FALSE)</f>
        <v>Hard Cover</v>
      </c>
      <c r="I375">
        <f>VLOOKUP(C375,Products!$A$2:$H$16,5,FALSE)</f>
        <v>1934</v>
      </c>
      <c r="J375" s="29">
        <f>VLOOKUP(C375,Products!$A$2:$H$16,6,FALSE)</f>
        <v>750.45899999999995</v>
      </c>
      <c r="K375" s="32">
        <f>VLOOKUP(C375,Products!$A$2:$H$16,7,FALSE)</f>
        <v>0.2</v>
      </c>
      <c r="L375" s="29">
        <f>VLOOKUP(C375,Products!$A$2:$H$16,8,FALSE)</f>
        <v>900.55079999999998</v>
      </c>
      <c r="M375" s="41">
        <f t="shared" si="15"/>
        <v>8</v>
      </c>
      <c r="N375" s="43">
        <f t="shared" si="16"/>
        <v>12607.7112</v>
      </c>
      <c r="O375" s="43">
        <f t="shared" si="17"/>
        <v>10506.425999999999</v>
      </c>
    </row>
    <row r="376" spans="1:15" x14ac:dyDescent="0.25">
      <c r="A376" s="31">
        <v>41508</v>
      </c>
      <c r="B376" t="s">
        <v>35</v>
      </c>
      <c r="C376" s="30">
        <v>10</v>
      </c>
      <c r="D376" s="30" t="s">
        <v>34</v>
      </c>
      <c r="E376" s="30">
        <v>16</v>
      </c>
      <c r="F376" t="str">
        <f>VLOOKUP(C376,Products!$A$2:$H$16,2,FALSE)</f>
        <v>Wings of Fire</v>
      </c>
      <c r="G376" t="str">
        <f>VLOOKUP(C376,Products!$A$2:$H$16,3,FALSE)</f>
        <v>APJ Abdul Kalam,
Arun Tiwari</v>
      </c>
      <c r="H376" t="str">
        <f>VLOOKUP(C376,Products!$A$2:$H$16,4,FALSE)</f>
        <v>Soft Cover</v>
      </c>
      <c r="I376">
        <f>VLOOKUP(C376,Products!$A$2:$H$16,5,FALSE)</f>
        <v>1999</v>
      </c>
      <c r="J376" s="29">
        <f>VLOOKUP(C376,Products!$A$2:$H$16,6,FALSE)</f>
        <v>1200</v>
      </c>
      <c r="K376" s="32">
        <f>VLOOKUP(C376,Products!$A$2:$H$16,7,FALSE)</f>
        <v>0.1</v>
      </c>
      <c r="L376" s="29">
        <f>VLOOKUP(C376,Products!$A$2:$H$16,8,FALSE)</f>
        <v>1320</v>
      </c>
      <c r="M376" s="41">
        <f t="shared" si="15"/>
        <v>8</v>
      </c>
      <c r="N376" s="43">
        <f t="shared" si="16"/>
        <v>21120</v>
      </c>
      <c r="O376" s="43">
        <f t="shared" si="17"/>
        <v>19200</v>
      </c>
    </row>
    <row r="377" spans="1:15" x14ac:dyDescent="0.25">
      <c r="A377" s="31">
        <v>41508</v>
      </c>
      <c r="B377" t="s">
        <v>42</v>
      </c>
      <c r="C377" s="30">
        <v>1</v>
      </c>
      <c r="D377" s="30" t="s">
        <v>34</v>
      </c>
      <c r="E377" s="30">
        <v>10</v>
      </c>
      <c r="F377" t="str">
        <f>VLOOKUP(C377,Products!$A$2:$H$16,2,FALSE)</f>
        <v>The Discovery of India</v>
      </c>
      <c r="G377" t="str">
        <f>VLOOKUP(C377,Products!$A$2:$H$16,3,FALSE)</f>
        <v>Jawaharlal Nehru</v>
      </c>
      <c r="H377" t="str">
        <f>VLOOKUP(C377,Products!$A$2:$H$16,4,FALSE)</f>
        <v>Hard Cover</v>
      </c>
      <c r="I377">
        <f>VLOOKUP(C377,Products!$A$2:$H$16,5,FALSE)</f>
        <v>1946</v>
      </c>
      <c r="J377" s="29">
        <f>VLOOKUP(C377,Products!$A$2:$H$16,6,FALSE)</f>
        <v>599.95000000000005</v>
      </c>
      <c r="K377" s="32">
        <f>VLOOKUP(C377,Products!$A$2:$H$16,7,FALSE)</f>
        <v>0.3</v>
      </c>
      <c r="L377" s="29">
        <f>VLOOKUP(C377,Products!$A$2:$H$16,8,FALSE)</f>
        <v>779.93500000000006</v>
      </c>
      <c r="M377" s="41">
        <f t="shared" si="15"/>
        <v>8</v>
      </c>
      <c r="N377" s="43">
        <f t="shared" si="16"/>
        <v>7799.35</v>
      </c>
      <c r="O377" s="43">
        <f t="shared" si="17"/>
        <v>5999.5</v>
      </c>
    </row>
    <row r="378" spans="1:15" x14ac:dyDescent="0.25">
      <c r="A378" s="31">
        <v>41509</v>
      </c>
      <c r="B378" t="s">
        <v>39</v>
      </c>
      <c r="C378" s="30">
        <v>4</v>
      </c>
      <c r="D378" s="30" t="s">
        <v>34</v>
      </c>
      <c r="E378" s="30">
        <v>11</v>
      </c>
      <c r="F378" t="str">
        <f>VLOOKUP(C378,Products!$A$2:$H$16,2,FALSE)</f>
        <v>A Guide to Health</v>
      </c>
      <c r="G378" t="str">
        <f>VLOOKUP(C378,Products!$A$2:$H$16,3,FALSE)</f>
        <v>Mahatma Gandhi</v>
      </c>
      <c r="H378" t="str">
        <f>VLOOKUP(C378,Products!$A$2:$H$16,4,FALSE)</f>
        <v>Hard Cover</v>
      </c>
      <c r="I378">
        <f>VLOOKUP(C378,Products!$A$2:$H$16,5,FALSE)</f>
        <v>1921</v>
      </c>
      <c r="J378" s="29">
        <f>VLOOKUP(C378,Products!$A$2:$H$16,6,FALSE)</f>
        <v>250</v>
      </c>
      <c r="K378" s="32">
        <f>VLOOKUP(C378,Products!$A$2:$H$16,7,FALSE)</f>
        <v>0.15</v>
      </c>
      <c r="L378" s="29">
        <f>VLOOKUP(C378,Products!$A$2:$H$16,8,FALSE)</f>
        <v>287.5</v>
      </c>
      <c r="M378" s="41">
        <f t="shared" si="15"/>
        <v>8</v>
      </c>
      <c r="N378" s="43">
        <f t="shared" si="16"/>
        <v>3162.5</v>
      </c>
      <c r="O378" s="43">
        <f t="shared" si="17"/>
        <v>2750</v>
      </c>
    </row>
    <row r="379" spans="1:15" x14ac:dyDescent="0.25">
      <c r="A379" s="31">
        <v>41509</v>
      </c>
      <c r="B379" t="s">
        <v>39</v>
      </c>
      <c r="C379" s="30">
        <v>14</v>
      </c>
      <c r="D379" s="30" t="s">
        <v>38</v>
      </c>
      <c r="E379" s="30">
        <v>2</v>
      </c>
      <c r="F379" t="str">
        <f>VLOOKUP(C379,Products!$A$2:$H$16,2,FALSE)</f>
        <v>A Guide to Health</v>
      </c>
      <c r="G379" t="str">
        <f>VLOOKUP(C379,Products!$A$2:$H$16,3,FALSE)</f>
        <v>Mahatma Gandhi</v>
      </c>
      <c r="H379" t="str">
        <f>VLOOKUP(C379,Products!$A$2:$H$16,4,FALSE)</f>
        <v>e-book</v>
      </c>
      <c r="I379">
        <f>VLOOKUP(C379,Products!$A$2:$H$16,5,FALSE)</f>
        <v>2005</v>
      </c>
      <c r="J379" s="29">
        <f>VLOOKUP(C379,Products!$A$2:$H$16,6,FALSE)</f>
        <v>105</v>
      </c>
      <c r="K379" s="32">
        <f>VLOOKUP(C379,Products!$A$2:$H$16,7,FALSE)</f>
        <v>0.15</v>
      </c>
      <c r="L379" s="29">
        <f>VLOOKUP(C379,Products!$A$2:$H$16,8,FALSE)</f>
        <v>120.75</v>
      </c>
      <c r="M379" s="41">
        <f t="shared" si="15"/>
        <v>8</v>
      </c>
      <c r="N379" s="43">
        <f t="shared" si="16"/>
        <v>241.5</v>
      </c>
      <c r="O379" s="43">
        <f t="shared" si="17"/>
        <v>210</v>
      </c>
    </row>
    <row r="380" spans="1:15" x14ac:dyDescent="0.25">
      <c r="A380" s="31">
        <v>41510</v>
      </c>
      <c r="B380" t="s">
        <v>40</v>
      </c>
      <c r="C380" s="30">
        <v>5</v>
      </c>
      <c r="D380" s="30" t="s">
        <v>38</v>
      </c>
      <c r="E380" s="30">
        <v>7</v>
      </c>
      <c r="F380" t="str">
        <f>VLOOKUP(C380,Products!$A$2:$H$16,2,FALSE)</f>
        <v>Wings of Fire</v>
      </c>
      <c r="G380" t="str">
        <f>VLOOKUP(C380,Products!$A$2:$H$16,3,FALSE)</f>
        <v>APJ Abdul Kalam,
Arun Tiwari</v>
      </c>
      <c r="H380" t="str">
        <f>VLOOKUP(C380,Products!$A$2:$H$16,4,FALSE)</f>
        <v>Hard Cover</v>
      </c>
      <c r="I380">
        <f>VLOOKUP(C380,Products!$A$2:$H$16,5,FALSE)</f>
        <v>1999</v>
      </c>
      <c r="J380" s="29">
        <f>VLOOKUP(C380,Products!$A$2:$H$16,6,FALSE)</f>
        <v>1275.2488000000001</v>
      </c>
      <c r="K380" s="32">
        <f>VLOOKUP(C380,Products!$A$2:$H$16,7,FALSE)</f>
        <v>0.1</v>
      </c>
      <c r="L380" s="29">
        <f>VLOOKUP(C380,Products!$A$2:$H$16,8,FALSE)</f>
        <v>1402.77368</v>
      </c>
      <c r="M380" s="41">
        <f t="shared" si="15"/>
        <v>8</v>
      </c>
      <c r="N380" s="43">
        <f t="shared" si="16"/>
        <v>9819.4157599999999</v>
      </c>
      <c r="O380" s="43">
        <f t="shared" si="17"/>
        <v>8926.7416000000012</v>
      </c>
    </row>
    <row r="381" spans="1:15" x14ac:dyDescent="0.25">
      <c r="A381" s="31">
        <v>41511</v>
      </c>
      <c r="B381" t="s">
        <v>42</v>
      </c>
      <c r="C381" s="30">
        <v>7</v>
      </c>
      <c r="D381" s="30" t="s">
        <v>38</v>
      </c>
      <c r="E381" s="30">
        <v>7</v>
      </c>
      <c r="F381" t="str">
        <f>VLOOKUP(C381,Products!$A$2:$H$16,2,FALSE)</f>
        <v>The Story of my Experiments with Truth</v>
      </c>
      <c r="G381" t="str">
        <f>VLOOKUP(C381,Products!$A$2:$H$16,3,FALSE)</f>
        <v>Mahatma Gandhi</v>
      </c>
      <c r="H381" t="str">
        <f>VLOOKUP(C381,Products!$A$2:$H$16,4,FALSE)</f>
        <v>Soft Cover</v>
      </c>
      <c r="I381">
        <f>VLOOKUP(C381,Products!$A$2:$H$16,5,FALSE)</f>
        <v>1927</v>
      </c>
      <c r="J381" s="29">
        <f>VLOOKUP(C381,Products!$A$2:$H$16,6,FALSE)</f>
        <v>109</v>
      </c>
      <c r="K381" s="32">
        <f>VLOOKUP(C381,Products!$A$2:$H$16,7,FALSE)</f>
        <v>0.3</v>
      </c>
      <c r="L381" s="29">
        <f>VLOOKUP(C381,Products!$A$2:$H$16,8,FALSE)</f>
        <v>141.69999999999999</v>
      </c>
      <c r="M381" s="41">
        <f t="shared" si="15"/>
        <v>8</v>
      </c>
      <c r="N381" s="43">
        <f t="shared" si="16"/>
        <v>991.89999999999986</v>
      </c>
      <c r="O381" s="43">
        <f t="shared" si="17"/>
        <v>763</v>
      </c>
    </row>
    <row r="382" spans="1:15" x14ac:dyDescent="0.25">
      <c r="A382" s="31">
        <v>41512</v>
      </c>
      <c r="B382" t="s">
        <v>37</v>
      </c>
      <c r="C382" s="30">
        <v>9</v>
      </c>
      <c r="D382" s="30" t="s">
        <v>34</v>
      </c>
      <c r="E382" s="30">
        <v>3</v>
      </c>
      <c r="F382" t="str">
        <f>VLOOKUP(C382,Products!$A$2:$H$16,2,FALSE)</f>
        <v>A Guide to Health</v>
      </c>
      <c r="G382" t="str">
        <f>VLOOKUP(C382,Products!$A$2:$H$16,3,FALSE)</f>
        <v>Mahatma Gandhi</v>
      </c>
      <c r="H382" t="str">
        <f>VLOOKUP(C382,Products!$A$2:$H$16,4,FALSE)</f>
        <v>Soft Cover</v>
      </c>
      <c r="I382">
        <f>VLOOKUP(C382,Products!$A$2:$H$16,5,FALSE)</f>
        <v>1921</v>
      </c>
      <c r="J382" s="29">
        <f>VLOOKUP(C382,Products!$A$2:$H$16,6,FALSE)</f>
        <v>220</v>
      </c>
      <c r="K382" s="32">
        <f>VLOOKUP(C382,Products!$A$2:$H$16,7,FALSE)</f>
        <v>0.15</v>
      </c>
      <c r="L382" s="29">
        <f>VLOOKUP(C382,Products!$A$2:$H$16,8,FALSE)</f>
        <v>253</v>
      </c>
      <c r="M382" s="41">
        <f t="shared" si="15"/>
        <v>8</v>
      </c>
      <c r="N382" s="43">
        <f t="shared" si="16"/>
        <v>759</v>
      </c>
      <c r="O382" s="43">
        <f t="shared" si="17"/>
        <v>660</v>
      </c>
    </row>
    <row r="383" spans="1:15" x14ac:dyDescent="0.25">
      <c r="A383" s="31">
        <v>41513</v>
      </c>
      <c r="B383" t="s">
        <v>36</v>
      </c>
      <c r="C383" s="30">
        <v>7</v>
      </c>
      <c r="D383" s="30" t="s">
        <v>34</v>
      </c>
      <c r="E383" s="30">
        <v>18</v>
      </c>
      <c r="F383" t="str">
        <f>VLOOKUP(C383,Products!$A$2:$H$16,2,FALSE)</f>
        <v>The Story of my Experiments with Truth</v>
      </c>
      <c r="G383" t="str">
        <f>VLOOKUP(C383,Products!$A$2:$H$16,3,FALSE)</f>
        <v>Mahatma Gandhi</v>
      </c>
      <c r="H383" t="str">
        <f>VLOOKUP(C383,Products!$A$2:$H$16,4,FALSE)</f>
        <v>Soft Cover</v>
      </c>
      <c r="I383">
        <f>VLOOKUP(C383,Products!$A$2:$H$16,5,FALSE)</f>
        <v>1927</v>
      </c>
      <c r="J383" s="29">
        <f>VLOOKUP(C383,Products!$A$2:$H$16,6,FALSE)</f>
        <v>109</v>
      </c>
      <c r="K383" s="32">
        <f>VLOOKUP(C383,Products!$A$2:$H$16,7,FALSE)</f>
        <v>0.3</v>
      </c>
      <c r="L383" s="29">
        <f>VLOOKUP(C383,Products!$A$2:$H$16,8,FALSE)</f>
        <v>141.69999999999999</v>
      </c>
      <c r="M383" s="41">
        <f t="shared" si="15"/>
        <v>8</v>
      </c>
      <c r="N383" s="43">
        <f t="shared" si="16"/>
        <v>2550.6</v>
      </c>
      <c r="O383" s="43">
        <f t="shared" si="17"/>
        <v>1962</v>
      </c>
    </row>
    <row r="384" spans="1:15" x14ac:dyDescent="0.25">
      <c r="A384" s="31">
        <v>41513</v>
      </c>
      <c r="B384" t="s">
        <v>35</v>
      </c>
      <c r="C384" s="30">
        <v>14</v>
      </c>
      <c r="D384" s="30" t="s">
        <v>34</v>
      </c>
      <c r="E384" s="30">
        <v>11</v>
      </c>
      <c r="F384" t="str">
        <f>VLOOKUP(C384,Products!$A$2:$H$16,2,FALSE)</f>
        <v>A Guide to Health</v>
      </c>
      <c r="G384" t="str">
        <f>VLOOKUP(C384,Products!$A$2:$H$16,3,FALSE)</f>
        <v>Mahatma Gandhi</v>
      </c>
      <c r="H384" t="str">
        <f>VLOOKUP(C384,Products!$A$2:$H$16,4,FALSE)</f>
        <v>e-book</v>
      </c>
      <c r="I384">
        <f>VLOOKUP(C384,Products!$A$2:$H$16,5,FALSE)</f>
        <v>2005</v>
      </c>
      <c r="J384" s="29">
        <f>VLOOKUP(C384,Products!$A$2:$H$16,6,FALSE)</f>
        <v>105</v>
      </c>
      <c r="K384" s="32">
        <f>VLOOKUP(C384,Products!$A$2:$H$16,7,FALSE)</f>
        <v>0.15</v>
      </c>
      <c r="L384" s="29">
        <f>VLOOKUP(C384,Products!$A$2:$H$16,8,FALSE)</f>
        <v>120.75</v>
      </c>
      <c r="M384" s="41">
        <f t="shared" si="15"/>
        <v>8</v>
      </c>
      <c r="N384" s="43">
        <f t="shared" si="16"/>
        <v>1328.25</v>
      </c>
      <c r="O384" s="43">
        <f t="shared" si="17"/>
        <v>1155</v>
      </c>
    </row>
    <row r="385" spans="1:15" x14ac:dyDescent="0.25">
      <c r="A385" s="31">
        <v>41514</v>
      </c>
      <c r="B385" t="s">
        <v>40</v>
      </c>
      <c r="C385" s="30">
        <v>7</v>
      </c>
      <c r="D385" s="30" t="s">
        <v>38</v>
      </c>
      <c r="E385" s="30">
        <v>4</v>
      </c>
      <c r="F385" t="str">
        <f>VLOOKUP(C385,Products!$A$2:$H$16,2,FALSE)</f>
        <v>The Story of my Experiments with Truth</v>
      </c>
      <c r="G385" t="str">
        <f>VLOOKUP(C385,Products!$A$2:$H$16,3,FALSE)</f>
        <v>Mahatma Gandhi</v>
      </c>
      <c r="H385" t="str">
        <f>VLOOKUP(C385,Products!$A$2:$H$16,4,FALSE)</f>
        <v>Soft Cover</v>
      </c>
      <c r="I385">
        <f>VLOOKUP(C385,Products!$A$2:$H$16,5,FALSE)</f>
        <v>1927</v>
      </c>
      <c r="J385" s="29">
        <f>VLOOKUP(C385,Products!$A$2:$H$16,6,FALSE)</f>
        <v>109</v>
      </c>
      <c r="K385" s="32">
        <f>VLOOKUP(C385,Products!$A$2:$H$16,7,FALSE)</f>
        <v>0.3</v>
      </c>
      <c r="L385" s="29">
        <f>VLOOKUP(C385,Products!$A$2:$H$16,8,FALSE)</f>
        <v>141.69999999999999</v>
      </c>
      <c r="M385" s="41">
        <f t="shared" si="15"/>
        <v>8</v>
      </c>
      <c r="N385" s="43">
        <f t="shared" si="16"/>
        <v>566.79999999999995</v>
      </c>
      <c r="O385" s="43">
        <f t="shared" si="17"/>
        <v>436</v>
      </c>
    </row>
    <row r="386" spans="1:15" x14ac:dyDescent="0.25">
      <c r="A386" s="31">
        <v>41514</v>
      </c>
      <c r="B386" t="s">
        <v>35</v>
      </c>
      <c r="C386" s="30">
        <v>6</v>
      </c>
      <c r="D386" s="30" t="s">
        <v>34</v>
      </c>
      <c r="E386" s="30">
        <v>17</v>
      </c>
      <c r="F386" t="str">
        <f>VLOOKUP(C386,Products!$A$2:$H$16,2,FALSE)</f>
        <v>The Discovery of India</v>
      </c>
      <c r="G386" t="str">
        <f>VLOOKUP(C386,Products!$A$2:$H$16,3,FALSE)</f>
        <v>Jawaharlal Nehru</v>
      </c>
      <c r="H386" t="str">
        <f>VLOOKUP(C386,Products!$A$2:$H$16,4,FALSE)</f>
        <v>Soft Cover</v>
      </c>
      <c r="I386">
        <f>VLOOKUP(C386,Products!$A$2:$H$16,5,FALSE)</f>
        <v>1946</v>
      </c>
      <c r="J386" s="29">
        <f>VLOOKUP(C386,Products!$A$2:$H$16,6,FALSE)</f>
        <v>499</v>
      </c>
      <c r="K386" s="32">
        <f>VLOOKUP(C386,Products!$A$2:$H$16,7,FALSE)</f>
        <v>0.3</v>
      </c>
      <c r="L386" s="29">
        <f>VLOOKUP(C386,Products!$A$2:$H$16,8,FALSE)</f>
        <v>648.70000000000005</v>
      </c>
      <c r="M386" s="41">
        <f t="shared" si="15"/>
        <v>8</v>
      </c>
      <c r="N386" s="43">
        <f t="shared" si="16"/>
        <v>11027.900000000001</v>
      </c>
      <c r="O386" s="43">
        <f t="shared" si="17"/>
        <v>8483</v>
      </c>
    </row>
    <row r="387" spans="1:15" x14ac:dyDescent="0.25">
      <c r="A387" s="31">
        <v>41515</v>
      </c>
      <c r="B387" t="s">
        <v>33</v>
      </c>
      <c r="C387" s="30">
        <v>4</v>
      </c>
      <c r="D387" s="30" t="s">
        <v>38</v>
      </c>
      <c r="E387" s="30">
        <v>6</v>
      </c>
      <c r="F387" t="str">
        <f>VLOOKUP(C387,Products!$A$2:$H$16,2,FALSE)</f>
        <v>A Guide to Health</v>
      </c>
      <c r="G387" t="str">
        <f>VLOOKUP(C387,Products!$A$2:$H$16,3,FALSE)</f>
        <v>Mahatma Gandhi</v>
      </c>
      <c r="H387" t="str">
        <f>VLOOKUP(C387,Products!$A$2:$H$16,4,FALSE)</f>
        <v>Hard Cover</v>
      </c>
      <c r="I387">
        <f>VLOOKUP(C387,Products!$A$2:$H$16,5,FALSE)</f>
        <v>1921</v>
      </c>
      <c r="J387" s="29">
        <f>VLOOKUP(C387,Products!$A$2:$H$16,6,FALSE)</f>
        <v>250</v>
      </c>
      <c r="K387" s="32">
        <f>VLOOKUP(C387,Products!$A$2:$H$16,7,FALSE)</f>
        <v>0.15</v>
      </c>
      <c r="L387" s="29">
        <f>VLOOKUP(C387,Products!$A$2:$H$16,8,FALSE)</f>
        <v>287.5</v>
      </c>
      <c r="M387" s="41">
        <f t="shared" ref="M387:M450" si="18">MONTH(A387)</f>
        <v>8</v>
      </c>
      <c r="N387" s="43">
        <f t="shared" ref="N387:N450" si="19">L387*E387</f>
        <v>1725</v>
      </c>
      <c r="O387" s="43">
        <f t="shared" ref="O387:O450" si="20">J387*E387</f>
        <v>1500</v>
      </c>
    </row>
    <row r="388" spans="1:15" x14ac:dyDescent="0.25">
      <c r="A388" s="31">
        <v>41515</v>
      </c>
      <c r="B388" t="s">
        <v>33</v>
      </c>
      <c r="C388" s="30">
        <v>7</v>
      </c>
      <c r="D388" s="30" t="s">
        <v>34</v>
      </c>
      <c r="E388" s="30">
        <v>2</v>
      </c>
      <c r="F388" t="str">
        <f>VLOOKUP(C388,Products!$A$2:$H$16,2,FALSE)</f>
        <v>The Story of my Experiments with Truth</v>
      </c>
      <c r="G388" t="str">
        <f>VLOOKUP(C388,Products!$A$2:$H$16,3,FALSE)</f>
        <v>Mahatma Gandhi</v>
      </c>
      <c r="H388" t="str">
        <f>VLOOKUP(C388,Products!$A$2:$H$16,4,FALSE)</f>
        <v>Soft Cover</v>
      </c>
      <c r="I388">
        <f>VLOOKUP(C388,Products!$A$2:$H$16,5,FALSE)</f>
        <v>1927</v>
      </c>
      <c r="J388" s="29">
        <f>VLOOKUP(C388,Products!$A$2:$H$16,6,FALSE)</f>
        <v>109</v>
      </c>
      <c r="K388" s="32">
        <f>VLOOKUP(C388,Products!$A$2:$H$16,7,FALSE)</f>
        <v>0.3</v>
      </c>
      <c r="L388" s="29">
        <f>VLOOKUP(C388,Products!$A$2:$H$16,8,FALSE)</f>
        <v>141.69999999999999</v>
      </c>
      <c r="M388" s="41">
        <f t="shared" si="18"/>
        <v>8</v>
      </c>
      <c r="N388" s="43">
        <f t="shared" si="19"/>
        <v>283.39999999999998</v>
      </c>
      <c r="O388" s="43">
        <f t="shared" si="20"/>
        <v>218</v>
      </c>
    </row>
    <row r="389" spans="1:15" x14ac:dyDescent="0.25">
      <c r="A389" s="31">
        <v>41515</v>
      </c>
      <c r="B389" t="s">
        <v>41</v>
      </c>
      <c r="C389" s="30">
        <v>12</v>
      </c>
      <c r="D389" s="30" t="s">
        <v>38</v>
      </c>
      <c r="E389" s="30">
        <v>7</v>
      </c>
      <c r="F389" t="str">
        <f>VLOOKUP(C389,Products!$A$2:$H$16,2,FALSE)</f>
        <v>The Story of my Experiments with Truth</v>
      </c>
      <c r="G389" t="str">
        <f>VLOOKUP(C389,Products!$A$2:$H$16,3,FALSE)</f>
        <v>Mahatma Gandhi</v>
      </c>
      <c r="H389" t="str">
        <f>VLOOKUP(C389,Products!$A$2:$H$16,4,FALSE)</f>
        <v>e-book</v>
      </c>
      <c r="I389">
        <f>VLOOKUP(C389,Products!$A$2:$H$16,5,FALSE)</f>
        <v>2004</v>
      </c>
      <c r="J389" s="29">
        <f>VLOOKUP(C389,Products!$A$2:$H$16,6,FALSE)</f>
        <v>50</v>
      </c>
      <c r="K389" s="32">
        <f>VLOOKUP(C389,Products!$A$2:$H$16,7,FALSE)</f>
        <v>0.3</v>
      </c>
      <c r="L389" s="29">
        <f>VLOOKUP(C389,Products!$A$2:$H$16,8,FALSE)</f>
        <v>65</v>
      </c>
      <c r="M389" s="41">
        <f t="shared" si="18"/>
        <v>8</v>
      </c>
      <c r="N389" s="43">
        <f t="shared" si="19"/>
        <v>455</v>
      </c>
      <c r="O389" s="43">
        <f t="shared" si="20"/>
        <v>350</v>
      </c>
    </row>
    <row r="390" spans="1:15" x14ac:dyDescent="0.25">
      <c r="A390" s="31">
        <v>41516</v>
      </c>
      <c r="B390" t="s">
        <v>39</v>
      </c>
      <c r="C390" s="30">
        <v>2</v>
      </c>
      <c r="D390" s="30" t="s">
        <v>38</v>
      </c>
      <c r="E390" s="30">
        <v>7</v>
      </c>
      <c r="F390" t="str">
        <f>VLOOKUP(C390,Products!$A$2:$H$16,2,FALSE)</f>
        <v>The Story of my Experiments with Truth</v>
      </c>
      <c r="G390" t="str">
        <f>VLOOKUP(C390,Products!$A$2:$H$16,3,FALSE)</f>
        <v>Mahatma Gandhi</v>
      </c>
      <c r="H390" t="str">
        <f>VLOOKUP(C390,Products!$A$2:$H$16,4,FALSE)</f>
        <v>Hard Cover</v>
      </c>
      <c r="I390">
        <f>VLOOKUP(C390,Products!$A$2:$H$16,5,FALSE)</f>
        <v>1927</v>
      </c>
      <c r="J390" s="29">
        <f>VLOOKUP(C390,Products!$A$2:$H$16,6,FALSE)</f>
        <v>159</v>
      </c>
      <c r="K390" s="32">
        <f>VLOOKUP(C390,Products!$A$2:$H$16,7,FALSE)</f>
        <v>0.3</v>
      </c>
      <c r="L390" s="29">
        <f>VLOOKUP(C390,Products!$A$2:$H$16,8,FALSE)</f>
        <v>206.7</v>
      </c>
      <c r="M390" s="41">
        <f t="shared" si="18"/>
        <v>8</v>
      </c>
      <c r="N390" s="43">
        <f t="shared" si="19"/>
        <v>1446.8999999999999</v>
      </c>
      <c r="O390" s="43">
        <f t="shared" si="20"/>
        <v>1113</v>
      </c>
    </row>
    <row r="391" spans="1:15" x14ac:dyDescent="0.25">
      <c r="A391" s="31">
        <v>41516</v>
      </c>
      <c r="B391" t="s">
        <v>33</v>
      </c>
      <c r="C391" s="30">
        <v>1</v>
      </c>
      <c r="D391" s="30" t="s">
        <v>38</v>
      </c>
      <c r="E391" s="30">
        <v>4</v>
      </c>
      <c r="F391" t="str">
        <f>VLOOKUP(C391,Products!$A$2:$H$16,2,FALSE)</f>
        <v>The Discovery of India</v>
      </c>
      <c r="G391" t="str">
        <f>VLOOKUP(C391,Products!$A$2:$H$16,3,FALSE)</f>
        <v>Jawaharlal Nehru</v>
      </c>
      <c r="H391" t="str">
        <f>VLOOKUP(C391,Products!$A$2:$H$16,4,FALSE)</f>
        <v>Hard Cover</v>
      </c>
      <c r="I391">
        <f>VLOOKUP(C391,Products!$A$2:$H$16,5,FALSE)</f>
        <v>1946</v>
      </c>
      <c r="J391" s="29">
        <f>VLOOKUP(C391,Products!$A$2:$H$16,6,FALSE)</f>
        <v>599.95000000000005</v>
      </c>
      <c r="K391" s="32">
        <f>VLOOKUP(C391,Products!$A$2:$H$16,7,FALSE)</f>
        <v>0.3</v>
      </c>
      <c r="L391" s="29">
        <f>VLOOKUP(C391,Products!$A$2:$H$16,8,FALSE)</f>
        <v>779.93500000000006</v>
      </c>
      <c r="M391" s="41">
        <f t="shared" si="18"/>
        <v>8</v>
      </c>
      <c r="N391" s="43">
        <f t="shared" si="19"/>
        <v>3119.7400000000002</v>
      </c>
      <c r="O391" s="43">
        <f t="shared" si="20"/>
        <v>2399.8000000000002</v>
      </c>
    </row>
    <row r="392" spans="1:15" x14ac:dyDescent="0.25">
      <c r="A392" s="31">
        <v>41516</v>
      </c>
      <c r="B392" t="s">
        <v>37</v>
      </c>
      <c r="C392" s="30">
        <v>11</v>
      </c>
      <c r="D392" s="30" t="s">
        <v>38</v>
      </c>
      <c r="E392" s="30">
        <v>18</v>
      </c>
      <c r="F392" t="str">
        <f>VLOOKUP(C392,Products!$A$2:$H$16,2,FALSE)</f>
        <v>The Discovery of India</v>
      </c>
      <c r="G392" t="str">
        <f>VLOOKUP(C392,Products!$A$2:$H$16,3,FALSE)</f>
        <v>Jawaharlal Nehru</v>
      </c>
      <c r="H392" t="str">
        <f>VLOOKUP(C392,Products!$A$2:$H$16,4,FALSE)</f>
        <v>e-book</v>
      </c>
      <c r="I392">
        <f>VLOOKUP(C392,Products!$A$2:$H$16,5,FALSE)</f>
        <v>2004</v>
      </c>
      <c r="J392" s="29">
        <f>VLOOKUP(C392,Products!$A$2:$H$16,6,FALSE)</f>
        <v>250</v>
      </c>
      <c r="K392" s="32">
        <f>VLOOKUP(C392,Products!$A$2:$H$16,7,FALSE)</f>
        <v>0.3</v>
      </c>
      <c r="L392" s="29">
        <f>VLOOKUP(C392,Products!$A$2:$H$16,8,FALSE)</f>
        <v>325</v>
      </c>
      <c r="M392" s="41">
        <f t="shared" si="18"/>
        <v>8</v>
      </c>
      <c r="N392" s="43">
        <f t="shared" si="19"/>
        <v>5850</v>
      </c>
      <c r="O392" s="43">
        <f t="shared" si="20"/>
        <v>4500</v>
      </c>
    </row>
    <row r="393" spans="1:15" x14ac:dyDescent="0.25">
      <c r="A393" s="31">
        <v>41516</v>
      </c>
      <c r="B393" t="s">
        <v>41</v>
      </c>
      <c r="C393" s="30">
        <v>4</v>
      </c>
      <c r="D393" s="30" t="s">
        <v>38</v>
      </c>
      <c r="E393" s="30">
        <v>8</v>
      </c>
      <c r="F393" t="str">
        <f>VLOOKUP(C393,Products!$A$2:$H$16,2,FALSE)</f>
        <v>A Guide to Health</v>
      </c>
      <c r="G393" t="str">
        <f>VLOOKUP(C393,Products!$A$2:$H$16,3,FALSE)</f>
        <v>Mahatma Gandhi</v>
      </c>
      <c r="H393" t="str">
        <f>VLOOKUP(C393,Products!$A$2:$H$16,4,FALSE)</f>
        <v>Hard Cover</v>
      </c>
      <c r="I393">
        <f>VLOOKUP(C393,Products!$A$2:$H$16,5,FALSE)</f>
        <v>1921</v>
      </c>
      <c r="J393" s="29">
        <f>VLOOKUP(C393,Products!$A$2:$H$16,6,FALSE)</f>
        <v>250</v>
      </c>
      <c r="K393" s="32">
        <f>VLOOKUP(C393,Products!$A$2:$H$16,7,FALSE)</f>
        <v>0.15</v>
      </c>
      <c r="L393" s="29">
        <f>VLOOKUP(C393,Products!$A$2:$H$16,8,FALSE)</f>
        <v>287.5</v>
      </c>
      <c r="M393" s="41">
        <f t="shared" si="18"/>
        <v>8</v>
      </c>
      <c r="N393" s="43">
        <f t="shared" si="19"/>
        <v>2300</v>
      </c>
      <c r="O393" s="43">
        <f t="shared" si="20"/>
        <v>2000</v>
      </c>
    </row>
    <row r="394" spans="1:15" x14ac:dyDescent="0.25">
      <c r="A394" s="31">
        <v>41518</v>
      </c>
      <c r="B394" t="s">
        <v>41</v>
      </c>
      <c r="C394" s="30">
        <v>14</v>
      </c>
      <c r="D394" s="30" t="s">
        <v>38</v>
      </c>
      <c r="E394" s="30">
        <v>5</v>
      </c>
      <c r="F394" t="str">
        <f>VLOOKUP(C394,Products!$A$2:$H$16,2,FALSE)</f>
        <v>A Guide to Health</v>
      </c>
      <c r="G394" t="str">
        <f>VLOOKUP(C394,Products!$A$2:$H$16,3,FALSE)</f>
        <v>Mahatma Gandhi</v>
      </c>
      <c r="H394" t="str">
        <f>VLOOKUP(C394,Products!$A$2:$H$16,4,FALSE)</f>
        <v>e-book</v>
      </c>
      <c r="I394">
        <f>VLOOKUP(C394,Products!$A$2:$H$16,5,FALSE)</f>
        <v>2005</v>
      </c>
      <c r="J394" s="29">
        <f>VLOOKUP(C394,Products!$A$2:$H$16,6,FALSE)</f>
        <v>105</v>
      </c>
      <c r="K394" s="32">
        <f>VLOOKUP(C394,Products!$A$2:$H$16,7,FALSE)</f>
        <v>0.15</v>
      </c>
      <c r="L394" s="29">
        <f>VLOOKUP(C394,Products!$A$2:$H$16,8,FALSE)</f>
        <v>120.75</v>
      </c>
      <c r="M394" s="41">
        <f t="shared" si="18"/>
        <v>9</v>
      </c>
      <c r="N394" s="43">
        <f t="shared" si="19"/>
        <v>603.75</v>
      </c>
      <c r="O394" s="43">
        <f t="shared" si="20"/>
        <v>525</v>
      </c>
    </row>
    <row r="395" spans="1:15" x14ac:dyDescent="0.25">
      <c r="A395" s="31">
        <v>41519</v>
      </c>
      <c r="B395" t="s">
        <v>37</v>
      </c>
      <c r="C395" s="30">
        <v>2</v>
      </c>
      <c r="D395" s="30" t="s">
        <v>34</v>
      </c>
      <c r="E395" s="30">
        <v>1</v>
      </c>
      <c r="F395" t="str">
        <f>VLOOKUP(C395,Products!$A$2:$H$16,2,FALSE)</f>
        <v>The Story of my Experiments with Truth</v>
      </c>
      <c r="G395" t="str">
        <f>VLOOKUP(C395,Products!$A$2:$H$16,3,FALSE)</f>
        <v>Mahatma Gandhi</v>
      </c>
      <c r="H395" t="str">
        <f>VLOOKUP(C395,Products!$A$2:$H$16,4,FALSE)</f>
        <v>Hard Cover</v>
      </c>
      <c r="I395">
        <f>VLOOKUP(C395,Products!$A$2:$H$16,5,FALSE)</f>
        <v>1927</v>
      </c>
      <c r="J395" s="29">
        <f>VLOOKUP(C395,Products!$A$2:$H$16,6,FALSE)</f>
        <v>159</v>
      </c>
      <c r="K395" s="32">
        <f>VLOOKUP(C395,Products!$A$2:$H$16,7,FALSE)</f>
        <v>0.3</v>
      </c>
      <c r="L395" s="29">
        <f>VLOOKUP(C395,Products!$A$2:$H$16,8,FALSE)</f>
        <v>206.7</v>
      </c>
      <c r="M395" s="41">
        <f t="shared" si="18"/>
        <v>9</v>
      </c>
      <c r="N395" s="43">
        <f t="shared" si="19"/>
        <v>206.7</v>
      </c>
      <c r="O395" s="43">
        <f t="shared" si="20"/>
        <v>159</v>
      </c>
    </row>
    <row r="396" spans="1:15" x14ac:dyDescent="0.25">
      <c r="A396" s="31">
        <v>41521</v>
      </c>
      <c r="B396" t="s">
        <v>35</v>
      </c>
      <c r="C396" s="30">
        <v>6</v>
      </c>
      <c r="D396" s="30" t="s">
        <v>34</v>
      </c>
      <c r="E396" s="30">
        <v>3</v>
      </c>
      <c r="F396" t="str">
        <f>VLOOKUP(C396,Products!$A$2:$H$16,2,FALSE)</f>
        <v>The Discovery of India</v>
      </c>
      <c r="G396" t="str">
        <f>VLOOKUP(C396,Products!$A$2:$H$16,3,FALSE)</f>
        <v>Jawaharlal Nehru</v>
      </c>
      <c r="H396" t="str">
        <f>VLOOKUP(C396,Products!$A$2:$H$16,4,FALSE)</f>
        <v>Soft Cover</v>
      </c>
      <c r="I396">
        <f>VLOOKUP(C396,Products!$A$2:$H$16,5,FALSE)</f>
        <v>1946</v>
      </c>
      <c r="J396" s="29">
        <f>VLOOKUP(C396,Products!$A$2:$H$16,6,FALSE)</f>
        <v>499</v>
      </c>
      <c r="K396" s="32">
        <f>VLOOKUP(C396,Products!$A$2:$H$16,7,FALSE)</f>
        <v>0.3</v>
      </c>
      <c r="L396" s="29">
        <f>VLOOKUP(C396,Products!$A$2:$H$16,8,FALSE)</f>
        <v>648.70000000000005</v>
      </c>
      <c r="M396" s="41">
        <f t="shared" si="18"/>
        <v>9</v>
      </c>
      <c r="N396" s="43">
        <f t="shared" si="19"/>
        <v>1946.1000000000001</v>
      </c>
      <c r="O396" s="43">
        <f t="shared" si="20"/>
        <v>1497</v>
      </c>
    </row>
    <row r="397" spans="1:15" x14ac:dyDescent="0.25">
      <c r="A397" s="31">
        <v>41522</v>
      </c>
      <c r="B397" t="s">
        <v>37</v>
      </c>
      <c r="C397" s="30">
        <v>4</v>
      </c>
      <c r="D397" s="30" t="s">
        <v>38</v>
      </c>
      <c r="E397" s="30">
        <v>17</v>
      </c>
      <c r="F397" t="str">
        <f>VLOOKUP(C397,Products!$A$2:$H$16,2,FALSE)</f>
        <v>A Guide to Health</v>
      </c>
      <c r="G397" t="str">
        <f>VLOOKUP(C397,Products!$A$2:$H$16,3,FALSE)</f>
        <v>Mahatma Gandhi</v>
      </c>
      <c r="H397" t="str">
        <f>VLOOKUP(C397,Products!$A$2:$H$16,4,FALSE)</f>
        <v>Hard Cover</v>
      </c>
      <c r="I397">
        <f>VLOOKUP(C397,Products!$A$2:$H$16,5,FALSE)</f>
        <v>1921</v>
      </c>
      <c r="J397" s="29">
        <f>VLOOKUP(C397,Products!$A$2:$H$16,6,FALSE)</f>
        <v>250</v>
      </c>
      <c r="K397" s="32">
        <f>VLOOKUP(C397,Products!$A$2:$H$16,7,FALSE)</f>
        <v>0.15</v>
      </c>
      <c r="L397" s="29">
        <f>VLOOKUP(C397,Products!$A$2:$H$16,8,FALSE)</f>
        <v>287.5</v>
      </c>
      <c r="M397" s="41">
        <f t="shared" si="18"/>
        <v>9</v>
      </c>
      <c r="N397" s="43">
        <f t="shared" si="19"/>
        <v>4887.5</v>
      </c>
      <c r="O397" s="43">
        <f t="shared" si="20"/>
        <v>4250</v>
      </c>
    </row>
    <row r="398" spans="1:15" x14ac:dyDescent="0.25">
      <c r="A398" s="31">
        <v>41523</v>
      </c>
      <c r="B398" t="s">
        <v>37</v>
      </c>
      <c r="C398" s="30">
        <v>4</v>
      </c>
      <c r="D398" s="30" t="s">
        <v>38</v>
      </c>
      <c r="E398" s="30">
        <v>11</v>
      </c>
      <c r="F398" t="str">
        <f>VLOOKUP(C398,Products!$A$2:$H$16,2,FALSE)</f>
        <v>A Guide to Health</v>
      </c>
      <c r="G398" t="str">
        <f>VLOOKUP(C398,Products!$A$2:$H$16,3,FALSE)</f>
        <v>Mahatma Gandhi</v>
      </c>
      <c r="H398" t="str">
        <f>VLOOKUP(C398,Products!$A$2:$H$16,4,FALSE)</f>
        <v>Hard Cover</v>
      </c>
      <c r="I398">
        <f>VLOOKUP(C398,Products!$A$2:$H$16,5,FALSE)</f>
        <v>1921</v>
      </c>
      <c r="J398" s="29">
        <f>VLOOKUP(C398,Products!$A$2:$H$16,6,FALSE)</f>
        <v>250</v>
      </c>
      <c r="K398" s="32">
        <f>VLOOKUP(C398,Products!$A$2:$H$16,7,FALSE)</f>
        <v>0.15</v>
      </c>
      <c r="L398" s="29">
        <f>VLOOKUP(C398,Products!$A$2:$H$16,8,FALSE)</f>
        <v>287.5</v>
      </c>
      <c r="M398" s="41">
        <f t="shared" si="18"/>
        <v>9</v>
      </c>
      <c r="N398" s="43">
        <f t="shared" si="19"/>
        <v>3162.5</v>
      </c>
      <c r="O398" s="43">
        <f t="shared" si="20"/>
        <v>2750</v>
      </c>
    </row>
    <row r="399" spans="1:15" x14ac:dyDescent="0.25">
      <c r="A399" s="31">
        <v>41524</v>
      </c>
      <c r="B399" t="s">
        <v>33</v>
      </c>
      <c r="C399" s="30">
        <v>13</v>
      </c>
      <c r="D399" s="30" t="s">
        <v>34</v>
      </c>
      <c r="E399" s="30">
        <v>1</v>
      </c>
      <c r="F399" t="str">
        <f>VLOOKUP(C399,Products!$A$2:$H$16,2,FALSE)</f>
        <v>Glimpses of World History</v>
      </c>
      <c r="G399" t="str">
        <f>VLOOKUP(C399,Products!$A$2:$H$16,3,FALSE)</f>
        <v>Jawaharlal Nehru</v>
      </c>
      <c r="H399" t="str">
        <f>VLOOKUP(C399,Products!$A$2:$H$16,4,FALSE)</f>
        <v>e-book</v>
      </c>
      <c r="I399">
        <f>VLOOKUP(C399,Products!$A$2:$H$16,5,FALSE)</f>
        <v>2005</v>
      </c>
      <c r="J399" s="29">
        <f>VLOOKUP(C399,Products!$A$2:$H$16,6,FALSE)</f>
        <v>300</v>
      </c>
      <c r="K399" s="32">
        <f>VLOOKUP(C399,Products!$A$2:$H$16,7,FALSE)</f>
        <v>0.2</v>
      </c>
      <c r="L399" s="29">
        <f>VLOOKUP(C399,Products!$A$2:$H$16,8,FALSE)</f>
        <v>360</v>
      </c>
      <c r="M399" s="41">
        <f t="shared" si="18"/>
        <v>9</v>
      </c>
      <c r="N399" s="43">
        <f t="shared" si="19"/>
        <v>360</v>
      </c>
      <c r="O399" s="43">
        <f t="shared" si="20"/>
        <v>300</v>
      </c>
    </row>
    <row r="400" spans="1:15" x14ac:dyDescent="0.25">
      <c r="A400" s="31">
        <v>41525</v>
      </c>
      <c r="B400" t="s">
        <v>41</v>
      </c>
      <c r="C400" s="30">
        <v>7</v>
      </c>
      <c r="D400" s="30" t="s">
        <v>34</v>
      </c>
      <c r="E400" s="30">
        <v>8</v>
      </c>
      <c r="F400" t="str">
        <f>VLOOKUP(C400,Products!$A$2:$H$16,2,FALSE)</f>
        <v>The Story of my Experiments with Truth</v>
      </c>
      <c r="G400" t="str">
        <f>VLOOKUP(C400,Products!$A$2:$H$16,3,FALSE)</f>
        <v>Mahatma Gandhi</v>
      </c>
      <c r="H400" t="str">
        <f>VLOOKUP(C400,Products!$A$2:$H$16,4,FALSE)</f>
        <v>Soft Cover</v>
      </c>
      <c r="I400">
        <f>VLOOKUP(C400,Products!$A$2:$H$16,5,FALSE)</f>
        <v>1927</v>
      </c>
      <c r="J400" s="29">
        <f>VLOOKUP(C400,Products!$A$2:$H$16,6,FALSE)</f>
        <v>109</v>
      </c>
      <c r="K400" s="32">
        <f>VLOOKUP(C400,Products!$A$2:$H$16,7,FALSE)</f>
        <v>0.3</v>
      </c>
      <c r="L400" s="29">
        <f>VLOOKUP(C400,Products!$A$2:$H$16,8,FALSE)</f>
        <v>141.69999999999999</v>
      </c>
      <c r="M400" s="41">
        <f t="shared" si="18"/>
        <v>9</v>
      </c>
      <c r="N400" s="43">
        <f t="shared" si="19"/>
        <v>1133.5999999999999</v>
      </c>
      <c r="O400" s="43">
        <f t="shared" si="20"/>
        <v>872</v>
      </c>
    </row>
    <row r="401" spans="1:15" x14ac:dyDescent="0.25">
      <c r="A401" s="31">
        <v>41525</v>
      </c>
      <c r="B401" t="s">
        <v>37</v>
      </c>
      <c r="C401" s="30">
        <v>2</v>
      </c>
      <c r="D401" s="30" t="s">
        <v>34</v>
      </c>
      <c r="E401" s="30">
        <v>2</v>
      </c>
      <c r="F401" t="str">
        <f>VLOOKUP(C401,Products!$A$2:$H$16,2,FALSE)</f>
        <v>The Story of my Experiments with Truth</v>
      </c>
      <c r="G401" t="str">
        <f>VLOOKUP(C401,Products!$A$2:$H$16,3,FALSE)</f>
        <v>Mahatma Gandhi</v>
      </c>
      <c r="H401" t="str">
        <f>VLOOKUP(C401,Products!$A$2:$H$16,4,FALSE)</f>
        <v>Hard Cover</v>
      </c>
      <c r="I401">
        <f>VLOOKUP(C401,Products!$A$2:$H$16,5,FALSE)</f>
        <v>1927</v>
      </c>
      <c r="J401" s="29">
        <f>VLOOKUP(C401,Products!$A$2:$H$16,6,FALSE)</f>
        <v>159</v>
      </c>
      <c r="K401" s="32">
        <f>VLOOKUP(C401,Products!$A$2:$H$16,7,FALSE)</f>
        <v>0.3</v>
      </c>
      <c r="L401" s="29">
        <f>VLOOKUP(C401,Products!$A$2:$H$16,8,FALSE)</f>
        <v>206.7</v>
      </c>
      <c r="M401" s="41">
        <f t="shared" si="18"/>
        <v>9</v>
      </c>
      <c r="N401" s="43">
        <f t="shared" si="19"/>
        <v>413.4</v>
      </c>
      <c r="O401" s="43">
        <f t="shared" si="20"/>
        <v>318</v>
      </c>
    </row>
    <row r="402" spans="1:15" x14ac:dyDescent="0.25">
      <c r="A402" s="31">
        <v>41525</v>
      </c>
      <c r="B402" t="s">
        <v>40</v>
      </c>
      <c r="C402" s="30">
        <v>12</v>
      </c>
      <c r="D402" s="30" t="s">
        <v>34</v>
      </c>
      <c r="E402" s="30">
        <v>16</v>
      </c>
      <c r="F402" t="str">
        <f>VLOOKUP(C402,Products!$A$2:$H$16,2,FALSE)</f>
        <v>The Story of my Experiments with Truth</v>
      </c>
      <c r="G402" t="str">
        <f>VLOOKUP(C402,Products!$A$2:$H$16,3,FALSE)</f>
        <v>Mahatma Gandhi</v>
      </c>
      <c r="H402" t="str">
        <f>VLOOKUP(C402,Products!$A$2:$H$16,4,FALSE)</f>
        <v>e-book</v>
      </c>
      <c r="I402">
        <f>VLOOKUP(C402,Products!$A$2:$H$16,5,FALSE)</f>
        <v>2004</v>
      </c>
      <c r="J402" s="29">
        <f>VLOOKUP(C402,Products!$A$2:$H$16,6,FALSE)</f>
        <v>50</v>
      </c>
      <c r="K402" s="32">
        <f>VLOOKUP(C402,Products!$A$2:$H$16,7,FALSE)</f>
        <v>0.3</v>
      </c>
      <c r="L402" s="29">
        <f>VLOOKUP(C402,Products!$A$2:$H$16,8,FALSE)</f>
        <v>65</v>
      </c>
      <c r="M402" s="41">
        <f t="shared" si="18"/>
        <v>9</v>
      </c>
      <c r="N402" s="43">
        <f t="shared" si="19"/>
        <v>1040</v>
      </c>
      <c r="O402" s="43">
        <f t="shared" si="20"/>
        <v>800</v>
      </c>
    </row>
    <row r="403" spans="1:15" x14ac:dyDescent="0.25">
      <c r="A403" s="31">
        <v>41525</v>
      </c>
      <c r="B403" t="s">
        <v>39</v>
      </c>
      <c r="C403" s="30">
        <v>11</v>
      </c>
      <c r="D403" s="30" t="s">
        <v>34</v>
      </c>
      <c r="E403" s="30">
        <v>1</v>
      </c>
      <c r="F403" t="str">
        <f>VLOOKUP(C403,Products!$A$2:$H$16,2,FALSE)</f>
        <v>The Discovery of India</v>
      </c>
      <c r="G403" t="str">
        <f>VLOOKUP(C403,Products!$A$2:$H$16,3,FALSE)</f>
        <v>Jawaharlal Nehru</v>
      </c>
      <c r="H403" t="str">
        <f>VLOOKUP(C403,Products!$A$2:$H$16,4,FALSE)</f>
        <v>e-book</v>
      </c>
      <c r="I403">
        <f>VLOOKUP(C403,Products!$A$2:$H$16,5,FALSE)</f>
        <v>2004</v>
      </c>
      <c r="J403" s="29">
        <f>VLOOKUP(C403,Products!$A$2:$H$16,6,FALSE)</f>
        <v>250</v>
      </c>
      <c r="K403" s="32">
        <f>VLOOKUP(C403,Products!$A$2:$H$16,7,FALSE)</f>
        <v>0.3</v>
      </c>
      <c r="L403" s="29">
        <f>VLOOKUP(C403,Products!$A$2:$H$16,8,FALSE)</f>
        <v>325</v>
      </c>
      <c r="M403" s="41">
        <f t="shared" si="18"/>
        <v>9</v>
      </c>
      <c r="N403" s="43">
        <f t="shared" si="19"/>
        <v>325</v>
      </c>
      <c r="O403" s="43">
        <f t="shared" si="20"/>
        <v>250</v>
      </c>
    </row>
    <row r="404" spans="1:15" x14ac:dyDescent="0.25">
      <c r="A404" s="31">
        <v>41525</v>
      </c>
      <c r="B404" t="s">
        <v>39</v>
      </c>
      <c r="C404" s="30">
        <v>8</v>
      </c>
      <c r="D404" s="30" t="s">
        <v>34</v>
      </c>
      <c r="E404" s="30">
        <v>9</v>
      </c>
      <c r="F404" t="str">
        <f>VLOOKUP(C404,Products!$A$2:$H$16,2,FALSE)</f>
        <v>Glimpses of World History</v>
      </c>
      <c r="G404" t="str">
        <f>VLOOKUP(C404,Products!$A$2:$H$16,3,FALSE)</f>
        <v>Jawaharlal Nehru</v>
      </c>
      <c r="H404" t="str">
        <f>VLOOKUP(C404,Products!$A$2:$H$16,4,FALSE)</f>
        <v>Soft Cover</v>
      </c>
      <c r="I404">
        <f>VLOOKUP(C404,Products!$A$2:$H$16,5,FALSE)</f>
        <v>1934</v>
      </c>
      <c r="J404" s="29">
        <f>VLOOKUP(C404,Products!$A$2:$H$16,6,FALSE)</f>
        <v>650</v>
      </c>
      <c r="K404" s="32">
        <f>VLOOKUP(C404,Products!$A$2:$H$16,7,FALSE)</f>
        <v>0.2</v>
      </c>
      <c r="L404" s="29">
        <f>VLOOKUP(C404,Products!$A$2:$H$16,8,FALSE)</f>
        <v>780</v>
      </c>
      <c r="M404" s="41">
        <f t="shared" si="18"/>
        <v>9</v>
      </c>
      <c r="N404" s="43">
        <f t="shared" si="19"/>
        <v>7020</v>
      </c>
      <c r="O404" s="43">
        <f t="shared" si="20"/>
        <v>5850</v>
      </c>
    </row>
    <row r="405" spans="1:15" x14ac:dyDescent="0.25">
      <c r="A405" s="31">
        <v>41526</v>
      </c>
      <c r="B405" t="s">
        <v>33</v>
      </c>
      <c r="C405" s="30">
        <v>1</v>
      </c>
      <c r="D405" s="30" t="s">
        <v>38</v>
      </c>
      <c r="E405" s="30">
        <v>7</v>
      </c>
      <c r="F405" t="str">
        <f>VLOOKUP(C405,Products!$A$2:$H$16,2,FALSE)</f>
        <v>The Discovery of India</v>
      </c>
      <c r="G405" t="str">
        <f>VLOOKUP(C405,Products!$A$2:$H$16,3,FALSE)</f>
        <v>Jawaharlal Nehru</v>
      </c>
      <c r="H405" t="str">
        <f>VLOOKUP(C405,Products!$A$2:$H$16,4,FALSE)</f>
        <v>Hard Cover</v>
      </c>
      <c r="I405">
        <f>VLOOKUP(C405,Products!$A$2:$H$16,5,FALSE)</f>
        <v>1946</v>
      </c>
      <c r="J405" s="29">
        <f>VLOOKUP(C405,Products!$A$2:$H$16,6,FALSE)</f>
        <v>599.95000000000005</v>
      </c>
      <c r="K405" s="32">
        <f>VLOOKUP(C405,Products!$A$2:$H$16,7,FALSE)</f>
        <v>0.3</v>
      </c>
      <c r="L405" s="29">
        <f>VLOOKUP(C405,Products!$A$2:$H$16,8,FALSE)</f>
        <v>779.93500000000006</v>
      </c>
      <c r="M405" s="41">
        <f t="shared" si="18"/>
        <v>9</v>
      </c>
      <c r="N405" s="43">
        <f t="shared" si="19"/>
        <v>5459.5450000000001</v>
      </c>
      <c r="O405" s="43">
        <f t="shared" si="20"/>
        <v>4199.6500000000005</v>
      </c>
    </row>
    <row r="406" spans="1:15" x14ac:dyDescent="0.25">
      <c r="A406" s="31">
        <v>41526</v>
      </c>
      <c r="B406" t="s">
        <v>39</v>
      </c>
      <c r="C406" s="30">
        <v>11</v>
      </c>
      <c r="D406" s="30" t="s">
        <v>34</v>
      </c>
      <c r="E406" s="30">
        <v>2</v>
      </c>
      <c r="F406" t="str">
        <f>VLOOKUP(C406,Products!$A$2:$H$16,2,FALSE)</f>
        <v>The Discovery of India</v>
      </c>
      <c r="G406" t="str">
        <f>VLOOKUP(C406,Products!$A$2:$H$16,3,FALSE)</f>
        <v>Jawaharlal Nehru</v>
      </c>
      <c r="H406" t="str">
        <f>VLOOKUP(C406,Products!$A$2:$H$16,4,FALSE)</f>
        <v>e-book</v>
      </c>
      <c r="I406">
        <f>VLOOKUP(C406,Products!$A$2:$H$16,5,FALSE)</f>
        <v>2004</v>
      </c>
      <c r="J406" s="29">
        <f>VLOOKUP(C406,Products!$A$2:$H$16,6,FALSE)</f>
        <v>250</v>
      </c>
      <c r="K406" s="32">
        <f>VLOOKUP(C406,Products!$A$2:$H$16,7,FALSE)</f>
        <v>0.3</v>
      </c>
      <c r="L406" s="29">
        <f>VLOOKUP(C406,Products!$A$2:$H$16,8,FALSE)</f>
        <v>325</v>
      </c>
      <c r="M406" s="41">
        <f t="shared" si="18"/>
        <v>9</v>
      </c>
      <c r="N406" s="43">
        <f t="shared" si="19"/>
        <v>650</v>
      </c>
      <c r="O406" s="43">
        <f t="shared" si="20"/>
        <v>500</v>
      </c>
    </row>
    <row r="407" spans="1:15" x14ac:dyDescent="0.25">
      <c r="A407" s="31">
        <v>41527</v>
      </c>
      <c r="B407" t="s">
        <v>35</v>
      </c>
      <c r="C407" s="30">
        <v>10</v>
      </c>
      <c r="D407" s="30" t="s">
        <v>34</v>
      </c>
      <c r="E407" s="30">
        <v>8</v>
      </c>
      <c r="F407" t="str">
        <f>VLOOKUP(C407,Products!$A$2:$H$16,2,FALSE)</f>
        <v>Wings of Fire</v>
      </c>
      <c r="G407" t="str">
        <f>VLOOKUP(C407,Products!$A$2:$H$16,3,FALSE)</f>
        <v>APJ Abdul Kalam,
Arun Tiwari</v>
      </c>
      <c r="H407" t="str">
        <f>VLOOKUP(C407,Products!$A$2:$H$16,4,FALSE)</f>
        <v>Soft Cover</v>
      </c>
      <c r="I407">
        <f>VLOOKUP(C407,Products!$A$2:$H$16,5,FALSE)</f>
        <v>1999</v>
      </c>
      <c r="J407" s="29">
        <f>VLOOKUP(C407,Products!$A$2:$H$16,6,FALSE)</f>
        <v>1200</v>
      </c>
      <c r="K407" s="32">
        <f>VLOOKUP(C407,Products!$A$2:$H$16,7,FALSE)</f>
        <v>0.1</v>
      </c>
      <c r="L407" s="29">
        <f>VLOOKUP(C407,Products!$A$2:$H$16,8,FALSE)</f>
        <v>1320</v>
      </c>
      <c r="M407" s="41">
        <f t="shared" si="18"/>
        <v>9</v>
      </c>
      <c r="N407" s="43">
        <f t="shared" si="19"/>
        <v>10560</v>
      </c>
      <c r="O407" s="43">
        <f t="shared" si="20"/>
        <v>9600</v>
      </c>
    </row>
    <row r="408" spans="1:15" x14ac:dyDescent="0.25">
      <c r="A408" s="31">
        <v>41527</v>
      </c>
      <c r="B408" t="s">
        <v>42</v>
      </c>
      <c r="C408" s="30">
        <v>7</v>
      </c>
      <c r="D408" s="30" t="s">
        <v>38</v>
      </c>
      <c r="E408" s="30">
        <v>19</v>
      </c>
      <c r="F408" t="str">
        <f>VLOOKUP(C408,Products!$A$2:$H$16,2,FALSE)</f>
        <v>The Story of my Experiments with Truth</v>
      </c>
      <c r="G408" t="str">
        <f>VLOOKUP(C408,Products!$A$2:$H$16,3,FALSE)</f>
        <v>Mahatma Gandhi</v>
      </c>
      <c r="H408" t="str">
        <f>VLOOKUP(C408,Products!$A$2:$H$16,4,FALSE)</f>
        <v>Soft Cover</v>
      </c>
      <c r="I408">
        <f>VLOOKUP(C408,Products!$A$2:$H$16,5,FALSE)</f>
        <v>1927</v>
      </c>
      <c r="J408" s="29">
        <f>VLOOKUP(C408,Products!$A$2:$H$16,6,FALSE)</f>
        <v>109</v>
      </c>
      <c r="K408" s="32">
        <f>VLOOKUP(C408,Products!$A$2:$H$16,7,FALSE)</f>
        <v>0.3</v>
      </c>
      <c r="L408" s="29">
        <f>VLOOKUP(C408,Products!$A$2:$H$16,8,FALSE)</f>
        <v>141.69999999999999</v>
      </c>
      <c r="M408" s="41">
        <f t="shared" si="18"/>
        <v>9</v>
      </c>
      <c r="N408" s="43">
        <f t="shared" si="19"/>
        <v>2692.2999999999997</v>
      </c>
      <c r="O408" s="43">
        <f t="shared" si="20"/>
        <v>2071</v>
      </c>
    </row>
    <row r="409" spans="1:15" x14ac:dyDescent="0.25">
      <c r="A409" s="31">
        <v>41527</v>
      </c>
      <c r="B409" t="s">
        <v>42</v>
      </c>
      <c r="C409" s="30">
        <v>1</v>
      </c>
      <c r="D409" s="30" t="s">
        <v>34</v>
      </c>
      <c r="E409" s="30">
        <v>10</v>
      </c>
      <c r="F409" t="str">
        <f>VLOOKUP(C409,Products!$A$2:$H$16,2,FALSE)</f>
        <v>The Discovery of India</v>
      </c>
      <c r="G409" t="str">
        <f>VLOOKUP(C409,Products!$A$2:$H$16,3,FALSE)</f>
        <v>Jawaharlal Nehru</v>
      </c>
      <c r="H409" t="str">
        <f>VLOOKUP(C409,Products!$A$2:$H$16,4,FALSE)</f>
        <v>Hard Cover</v>
      </c>
      <c r="I409">
        <f>VLOOKUP(C409,Products!$A$2:$H$16,5,FALSE)</f>
        <v>1946</v>
      </c>
      <c r="J409" s="29">
        <f>VLOOKUP(C409,Products!$A$2:$H$16,6,FALSE)</f>
        <v>599.95000000000005</v>
      </c>
      <c r="K409" s="32">
        <f>VLOOKUP(C409,Products!$A$2:$H$16,7,FALSE)</f>
        <v>0.3</v>
      </c>
      <c r="L409" s="29">
        <f>VLOOKUP(C409,Products!$A$2:$H$16,8,FALSE)</f>
        <v>779.93500000000006</v>
      </c>
      <c r="M409" s="41">
        <f t="shared" si="18"/>
        <v>9</v>
      </c>
      <c r="N409" s="43">
        <f t="shared" si="19"/>
        <v>7799.35</v>
      </c>
      <c r="O409" s="43">
        <f t="shared" si="20"/>
        <v>5999.5</v>
      </c>
    </row>
    <row r="410" spans="1:15" x14ac:dyDescent="0.25">
      <c r="A410" s="31">
        <v>41528</v>
      </c>
      <c r="B410" t="s">
        <v>39</v>
      </c>
      <c r="C410" s="30">
        <v>12</v>
      </c>
      <c r="D410" s="30" t="s">
        <v>38</v>
      </c>
      <c r="E410" s="30">
        <v>17</v>
      </c>
      <c r="F410" t="str">
        <f>VLOOKUP(C410,Products!$A$2:$H$16,2,FALSE)</f>
        <v>The Story of my Experiments with Truth</v>
      </c>
      <c r="G410" t="str">
        <f>VLOOKUP(C410,Products!$A$2:$H$16,3,FALSE)</f>
        <v>Mahatma Gandhi</v>
      </c>
      <c r="H410" t="str">
        <f>VLOOKUP(C410,Products!$A$2:$H$16,4,FALSE)</f>
        <v>e-book</v>
      </c>
      <c r="I410">
        <f>VLOOKUP(C410,Products!$A$2:$H$16,5,FALSE)</f>
        <v>2004</v>
      </c>
      <c r="J410" s="29">
        <f>VLOOKUP(C410,Products!$A$2:$H$16,6,FALSE)</f>
        <v>50</v>
      </c>
      <c r="K410" s="32">
        <f>VLOOKUP(C410,Products!$A$2:$H$16,7,FALSE)</f>
        <v>0.3</v>
      </c>
      <c r="L410" s="29">
        <f>VLOOKUP(C410,Products!$A$2:$H$16,8,FALSE)</f>
        <v>65</v>
      </c>
      <c r="M410" s="41">
        <f t="shared" si="18"/>
        <v>9</v>
      </c>
      <c r="N410" s="43">
        <f t="shared" si="19"/>
        <v>1105</v>
      </c>
      <c r="O410" s="43">
        <f t="shared" si="20"/>
        <v>850</v>
      </c>
    </row>
    <row r="411" spans="1:15" x14ac:dyDescent="0.25">
      <c r="A411" s="31">
        <v>41528</v>
      </c>
      <c r="B411" t="s">
        <v>37</v>
      </c>
      <c r="C411" s="30">
        <v>12</v>
      </c>
      <c r="D411" s="30" t="s">
        <v>34</v>
      </c>
      <c r="E411" s="30">
        <v>14</v>
      </c>
      <c r="F411" t="str">
        <f>VLOOKUP(C411,Products!$A$2:$H$16,2,FALSE)</f>
        <v>The Story of my Experiments with Truth</v>
      </c>
      <c r="G411" t="str">
        <f>VLOOKUP(C411,Products!$A$2:$H$16,3,FALSE)</f>
        <v>Mahatma Gandhi</v>
      </c>
      <c r="H411" t="str">
        <f>VLOOKUP(C411,Products!$A$2:$H$16,4,FALSE)</f>
        <v>e-book</v>
      </c>
      <c r="I411">
        <f>VLOOKUP(C411,Products!$A$2:$H$16,5,FALSE)</f>
        <v>2004</v>
      </c>
      <c r="J411" s="29">
        <f>VLOOKUP(C411,Products!$A$2:$H$16,6,FALSE)</f>
        <v>50</v>
      </c>
      <c r="K411" s="32">
        <f>VLOOKUP(C411,Products!$A$2:$H$16,7,FALSE)</f>
        <v>0.3</v>
      </c>
      <c r="L411" s="29">
        <f>VLOOKUP(C411,Products!$A$2:$H$16,8,FALSE)</f>
        <v>65</v>
      </c>
      <c r="M411" s="41">
        <f t="shared" si="18"/>
        <v>9</v>
      </c>
      <c r="N411" s="43">
        <f t="shared" si="19"/>
        <v>910</v>
      </c>
      <c r="O411" s="43">
        <f t="shared" si="20"/>
        <v>700</v>
      </c>
    </row>
    <row r="412" spans="1:15" x14ac:dyDescent="0.25">
      <c r="A412" s="31">
        <v>41528</v>
      </c>
      <c r="B412" t="s">
        <v>35</v>
      </c>
      <c r="C412" s="30">
        <v>8</v>
      </c>
      <c r="D412" s="30" t="s">
        <v>38</v>
      </c>
      <c r="E412" s="30">
        <v>11</v>
      </c>
      <c r="F412" t="str">
        <f>VLOOKUP(C412,Products!$A$2:$H$16,2,FALSE)</f>
        <v>Glimpses of World History</v>
      </c>
      <c r="G412" t="str">
        <f>VLOOKUP(C412,Products!$A$2:$H$16,3,FALSE)</f>
        <v>Jawaharlal Nehru</v>
      </c>
      <c r="H412" t="str">
        <f>VLOOKUP(C412,Products!$A$2:$H$16,4,FALSE)</f>
        <v>Soft Cover</v>
      </c>
      <c r="I412">
        <f>VLOOKUP(C412,Products!$A$2:$H$16,5,FALSE)</f>
        <v>1934</v>
      </c>
      <c r="J412" s="29">
        <f>VLOOKUP(C412,Products!$A$2:$H$16,6,FALSE)</f>
        <v>650</v>
      </c>
      <c r="K412" s="32">
        <f>VLOOKUP(C412,Products!$A$2:$H$16,7,FALSE)</f>
        <v>0.2</v>
      </c>
      <c r="L412" s="29">
        <f>VLOOKUP(C412,Products!$A$2:$H$16,8,FALSE)</f>
        <v>780</v>
      </c>
      <c r="M412" s="41">
        <f t="shared" si="18"/>
        <v>9</v>
      </c>
      <c r="N412" s="43">
        <f t="shared" si="19"/>
        <v>8580</v>
      </c>
      <c r="O412" s="43">
        <f t="shared" si="20"/>
        <v>7150</v>
      </c>
    </row>
    <row r="413" spans="1:15" x14ac:dyDescent="0.25">
      <c r="A413" s="31">
        <v>41528</v>
      </c>
      <c r="B413" t="s">
        <v>37</v>
      </c>
      <c r="C413" s="30">
        <v>8</v>
      </c>
      <c r="D413" s="30" t="s">
        <v>34</v>
      </c>
      <c r="E413" s="30">
        <v>6</v>
      </c>
      <c r="F413" t="str">
        <f>VLOOKUP(C413,Products!$A$2:$H$16,2,FALSE)</f>
        <v>Glimpses of World History</v>
      </c>
      <c r="G413" t="str">
        <f>VLOOKUP(C413,Products!$A$2:$H$16,3,FALSE)</f>
        <v>Jawaharlal Nehru</v>
      </c>
      <c r="H413" t="str">
        <f>VLOOKUP(C413,Products!$A$2:$H$16,4,FALSE)</f>
        <v>Soft Cover</v>
      </c>
      <c r="I413">
        <f>VLOOKUP(C413,Products!$A$2:$H$16,5,FALSE)</f>
        <v>1934</v>
      </c>
      <c r="J413" s="29">
        <f>VLOOKUP(C413,Products!$A$2:$H$16,6,FALSE)</f>
        <v>650</v>
      </c>
      <c r="K413" s="32">
        <f>VLOOKUP(C413,Products!$A$2:$H$16,7,FALSE)</f>
        <v>0.2</v>
      </c>
      <c r="L413" s="29">
        <f>VLOOKUP(C413,Products!$A$2:$H$16,8,FALSE)</f>
        <v>780</v>
      </c>
      <c r="M413" s="41">
        <f t="shared" si="18"/>
        <v>9</v>
      </c>
      <c r="N413" s="43">
        <f t="shared" si="19"/>
        <v>4680</v>
      </c>
      <c r="O413" s="43">
        <f t="shared" si="20"/>
        <v>3900</v>
      </c>
    </row>
    <row r="414" spans="1:15" x14ac:dyDescent="0.25">
      <c r="A414" s="31">
        <v>41529</v>
      </c>
      <c r="B414" t="s">
        <v>35</v>
      </c>
      <c r="C414" s="30">
        <v>7</v>
      </c>
      <c r="D414" s="30" t="s">
        <v>34</v>
      </c>
      <c r="E414" s="30">
        <v>9</v>
      </c>
      <c r="F414" t="str">
        <f>VLOOKUP(C414,Products!$A$2:$H$16,2,FALSE)</f>
        <v>The Story of my Experiments with Truth</v>
      </c>
      <c r="G414" t="str">
        <f>VLOOKUP(C414,Products!$A$2:$H$16,3,FALSE)</f>
        <v>Mahatma Gandhi</v>
      </c>
      <c r="H414" t="str">
        <f>VLOOKUP(C414,Products!$A$2:$H$16,4,FALSE)</f>
        <v>Soft Cover</v>
      </c>
      <c r="I414">
        <f>VLOOKUP(C414,Products!$A$2:$H$16,5,FALSE)</f>
        <v>1927</v>
      </c>
      <c r="J414" s="29">
        <f>VLOOKUP(C414,Products!$A$2:$H$16,6,FALSE)</f>
        <v>109</v>
      </c>
      <c r="K414" s="32">
        <f>VLOOKUP(C414,Products!$A$2:$H$16,7,FALSE)</f>
        <v>0.3</v>
      </c>
      <c r="L414" s="29">
        <f>VLOOKUP(C414,Products!$A$2:$H$16,8,FALSE)</f>
        <v>141.69999999999999</v>
      </c>
      <c r="M414" s="41">
        <f t="shared" si="18"/>
        <v>9</v>
      </c>
      <c r="N414" s="43">
        <f t="shared" si="19"/>
        <v>1275.3</v>
      </c>
      <c r="O414" s="43">
        <f t="shared" si="20"/>
        <v>981</v>
      </c>
    </row>
    <row r="415" spans="1:15" x14ac:dyDescent="0.25">
      <c r="A415" s="31">
        <v>41530</v>
      </c>
      <c r="B415" t="s">
        <v>42</v>
      </c>
      <c r="C415" s="30">
        <v>10</v>
      </c>
      <c r="D415" s="30" t="s">
        <v>34</v>
      </c>
      <c r="E415" s="30">
        <v>1</v>
      </c>
      <c r="F415" t="str">
        <f>VLOOKUP(C415,Products!$A$2:$H$16,2,FALSE)</f>
        <v>Wings of Fire</v>
      </c>
      <c r="G415" t="str">
        <f>VLOOKUP(C415,Products!$A$2:$H$16,3,FALSE)</f>
        <v>APJ Abdul Kalam,
Arun Tiwari</v>
      </c>
      <c r="H415" t="str">
        <f>VLOOKUP(C415,Products!$A$2:$H$16,4,FALSE)</f>
        <v>Soft Cover</v>
      </c>
      <c r="I415">
        <f>VLOOKUP(C415,Products!$A$2:$H$16,5,FALSE)</f>
        <v>1999</v>
      </c>
      <c r="J415" s="29">
        <f>VLOOKUP(C415,Products!$A$2:$H$16,6,FALSE)</f>
        <v>1200</v>
      </c>
      <c r="K415" s="32">
        <f>VLOOKUP(C415,Products!$A$2:$H$16,7,FALSE)</f>
        <v>0.1</v>
      </c>
      <c r="L415" s="29">
        <f>VLOOKUP(C415,Products!$A$2:$H$16,8,FALSE)</f>
        <v>1320</v>
      </c>
      <c r="M415" s="41">
        <f t="shared" si="18"/>
        <v>9</v>
      </c>
      <c r="N415" s="43">
        <f t="shared" si="19"/>
        <v>1320</v>
      </c>
      <c r="O415" s="43">
        <f t="shared" si="20"/>
        <v>1200</v>
      </c>
    </row>
    <row r="416" spans="1:15" x14ac:dyDescent="0.25">
      <c r="A416" s="31">
        <v>41532</v>
      </c>
      <c r="B416" t="s">
        <v>36</v>
      </c>
      <c r="C416" s="30">
        <v>2</v>
      </c>
      <c r="D416" s="30" t="s">
        <v>38</v>
      </c>
      <c r="E416" s="30">
        <v>19</v>
      </c>
      <c r="F416" t="str">
        <f>VLOOKUP(C416,Products!$A$2:$H$16,2,FALSE)</f>
        <v>The Story of my Experiments with Truth</v>
      </c>
      <c r="G416" t="str">
        <f>VLOOKUP(C416,Products!$A$2:$H$16,3,FALSE)</f>
        <v>Mahatma Gandhi</v>
      </c>
      <c r="H416" t="str">
        <f>VLOOKUP(C416,Products!$A$2:$H$16,4,FALSE)</f>
        <v>Hard Cover</v>
      </c>
      <c r="I416">
        <f>VLOOKUP(C416,Products!$A$2:$H$16,5,FALSE)</f>
        <v>1927</v>
      </c>
      <c r="J416" s="29">
        <f>VLOOKUP(C416,Products!$A$2:$H$16,6,FALSE)</f>
        <v>159</v>
      </c>
      <c r="K416" s="32">
        <f>VLOOKUP(C416,Products!$A$2:$H$16,7,FALSE)</f>
        <v>0.3</v>
      </c>
      <c r="L416" s="29">
        <f>VLOOKUP(C416,Products!$A$2:$H$16,8,FALSE)</f>
        <v>206.7</v>
      </c>
      <c r="M416" s="41">
        <f t="shared" si="18"/>
        <v>9</v>
      </c>
      <c r="N416" s="43">
        <f t="shared" si="19"/>
        <v>3927.2999999999997</v>
      </c>
      <c r="O416" s="43">
        <f t="shared" si="20"/>
        <v>3021</v>
      </c>
    </row>
    <row r="417" spans="1:15" x14ac:dyDescent="0.25">
      <c r="A417" s="31">
        <v>41533</v>
      </c>
      <c r="B417" t="s">
        <v>42</v>
      </c>
      <c r="C417" s="30">
        <v>2</v>
      </c>
      <c r="D417" s="30" t="s">
        <v>34</v>
      </c>
      <c r="E417" s="30">
        <v>20</v>
      </c>
      <c r="F417" t="str">
        <f>VLOOKUP(C417,Products!$A$2:$H$16,2,FALSE)</f>
        <v>The Story of my Experiments with Truth</v>
      </c>
      <c r="G417" t="str">
        <f>VLOOKUP(C417,Products!$A$2:$H$16,3,FALSE)</f>
        <v>Mahatma Gandhi</v>
      </c>
      <c r="H417" t="str">
        <f>VLOOKUP(C417,Products!$A$2:$H$16,4,FALSE)</f>
        <v>Hard Cover</v>
      </c>
      <c r="I417">
        <f>VLOOKUP(C417,Products!$A$2:$H$16,5,FALSE)</f>
        <v>1927</v>
      </c>
      <c r="J417" s="29">
        <f>VLOOKUP(C417,Products!$A$2:$H$16,6,FALSE)</f>
        <v>159</v>
      </c>
      <c r="K417" s="32">
        <f>VLOOKUP(C417,Products!$A$2:$H$16,7,FALSE)</f>
        <v>0.3</v>
      </c>
      <c r="L417" s="29">
        <f>VLOOKUP(C417,Products!$A$2:$H$16,8,FALSE)</f>
        <v>206.7</v>
      </c>
      <c r="M417" s="41">
        <f t="shared" si="18"/>
        <v>9</v>
      </c>
      <c r="N417" s="43">
        <f t="shared" si="19"/>
        <v>4134</v>
      </c>
      <c r="O417" s="43">
        <f t="shared" si="20"/>
        <v>3180</v>
      </c>
    </row>
    <row r="418" spans="1:15" x14ac:dyDescent="0.25">
      <c r="A418" s="31">
        <v>41534</v>
      </c>
      <c r="B418" t="s">
        <v>40</v>
      </c>
      <c r="C418" s="30">
        <v>8</v>
      </c>
      <c r="D418" s="30" t="s">
        <v>38</v>
      </c>
      <c r="E418" s="30">
        <v>2</v>
      </c>
      <c r="F418" t="str">
        <f>VLOOKUP(C418,Products!$A$2:$H$16,2,FALSE)</f>
        <v>Glimpses of World History</v>
      </c>
      <c r="G418" t="str">
        <f>VLOOKUP(C418,Products!$A$2:$H$16,3,FALSE)</f>
        <v>Jawaharlal Nehru</v>
      </c>
      <c r="H418" t="str">
        <f>VLOOKUP(C418,Products!$A$2:$H$16,4,FALSE)</f>
        <v>Soft Cover</v>
      </c>
      <c r="I418">
        <f>VLOOKUP(C418,Products!$A$2:$H$16,5,FALSE)</f>
        <v>1934</v>
      </c>
      <c r="J418" s="29">
        <f>VLOOKUP(C418,Products!$A$2:$H$16,6,FALSE)</f>
        <v>650</v>
      </c>
      <c r="K418" s="32">
        <f>VLOOKUP(C418,Products!$A$2:$H$16,7,FALSE)</f>
        <v>0.2</v>
      </c>
      <c r="L418" s="29">
        <f>VLOOKUP(C418,Products!$A$2:$H$16,8,FALSE)</f>
        <v>780</v>
      </c>
      <c r="M418" s="41">
        <f t="shared" si="18"/>
        <v>9</v>
      </c>
      <c r="N418" s="43">
        <f t="shared" si="19"/>
        <v>1560</v>
      </c>
      <c r="O418" s="43">
        <f t="shared" si="20"/>
        <v>1300</v>
      </c>
    </row>
    <row r="419" spans="1:15" x14ac:dyDescent="0.25">
      <c r="A419" s="31">
        <v>41534</v>
      </c>
      <c r="B419" t="s">
        <v>36</v>
      </c>
      <c r="C419" s="30">
        <v>5</v>
      </c>
      <c r="D419" s="30" t="s">
        <v>38</v>
      </c>
      <c r="E419" s="30">
        <v>12</v>
      </c>
      <c r="F419" t="str">
        <f>VLOOKUP(C419,Products!$A$2:$H$16,2,FALSE)</f>
        <v>Wings of Fire</v>
      </c>
      <c r="G419" t="str">
        <f>VLOOKUP(C419,Products!$A$2:$H$16,3,FALSE)</f>
        <v>APJ Abdul Kalam,
Arun Tiwari</v>
      </c>
      <c r="H419" t="str">
        <f>VLOOKUP(C419,Products!$A$2:$H$16,4,FALSE)</f>
        <v>Hard Cover</v>
      </c>
      <c r="I419">
        <f>VLOOKUP(C419,Products!$A$2:$H$16,5,FALSE)</f>
        <v>1999</v>
      </c>
      <c r="J419" s="29">
        <f>VLOOKUP(C419,Products!$A$2:$H$16,6,FALSE)</f>
        <v>1275.2488000000001</v>
      </c>
      <c r="K419" s="32">
        <f>VLOOKUP(C419,Products!$A$2:$H$16,7,FALSE)</f>
        <v>0.1</v>
      </c>
      <c r="L419" s="29">
        <f>VLOOKUP(C419,Products!$A$2:$H$16,8,FALSE)</f>
        <v>1402.77368</v>
      </c>
      <c r="M419" s="41">
        <f t="shared" si="18"/>
        <v>9</v>
      </c>
      <c r="N419" s="43">
        <f t="shared" si="19"/>
        <v>16833.284159999999</v>
      </c>
      <c r="O419" s="43">
        <f t="shared" si="20"/>
        <v>15302.9856</v>
      </c>
    </row>
    <row r="420" spans="1:15" x14ac:dyDescent="0.25">
      <c r="A420" s="31">
        <v>41534</v>
      </c>
      <c r="B420" t="s">
        <v>41</v>
      </c>
      <c r="C420" s="30">
        <v>4</v>
      </c>
      <c r="D420" s="30" t="s">
        <v>38</v>
      </c>
      <c r="E420" s="30">
        <v>3</v>
      </c>
      <c r="F420" t="str">
        <f>VLOOKUP(C420,Products!$A$2:$H$16,2,FALSE)</f>
        <v>A Guide to Health</v>
      </c>
      <c r="G420" t="str">
        <f>VLOOKUP(C420,Products!$A$2:$H$16,3,FALSE)</f>
        <v>Mahatma Gandhi</v>
      </c>
      <c r="H420" t="str">
        <f>VLOOKUP(C420,Products!$A$2:$H$16,4,FALSE)</f>
        <v>Hard Cover</v>
      </c>
      <c r="I420">
        <f>VLOOKUP(C420,Products!$A$2:$H$16,5,FALSE)</f>
        <v>1921</v>
      </c>
      <c r="J420" s="29">
        <f>VLOOKUP(C420,Products!$A$2:$H$16,6,FALSE)</f>
        <v>250</v>
      </c>
      <c r="K420" s="32">
        <f>VLOOKUP(C420,Products!$A$2:$H$16,7,FALSE)</f>
        <v>0.15</v>
      </c>
      <c r="L420" s="29">
        <f>VLOOKUP(C420,Products!$A$2:$H$16,8,FALSE)</f>
        <v>287.5</v>
      </c>
      <c r="M420" s="41">
        <f t="shared" si="18"/>
        <v>9</v>
      </c>
      <c r="N420" s="43">
        <f t="shared" si="19"/>
        <v>862.5</v>
      </c>
      <c r="O420" s="43">
        <f t="shared" si="20"/>
        <v>750</v>
      </c>
    </row>
    <row r="421" spans="1:15" x14ac:dyDescent="0.25">
      <c r="A421" s="31">
        <v>41535</v>
      </c>
      <c r="B421" t="s">
        <v>35</v>
      </c>
      <c r="C421" s="30">
        <v>3</v>
      </c>
      <c r="D421" s="30" t="s">
        <v>34</v>
      </c>
      <c r="E421" s="30">
        <v>9</v>
      </c>
      <c r="F421" t="str">
        <f>VLOOKUP(C421,Products!$A$2:$H$16,2,FALSE)</f>
        <v>Glimpses of World History</v>
      </c>
      <c r="G421" t="str">
        <f>VLOOKUP(C421,Products!$A$2:$H$16,3,FALSE)</f>
        <v>Jawaharlal Nehru</v>
      </c>
      <c r="H421" t="str">
        <f>VLOOKUP(C421,Products!$A$2:$H$16,4,FALSE)</f>
        <v>Hard Cover</v>
      </c>
      <c r="I421">
        <f>VLOOKUP(C421,Products!$A$2:$H$16,5,FALSE)</f>
        <v>1934</v>
      </c>
      <c r="J421" s="29">
        <f>VLOOKUP(C421,Products!$A$2:$H$16,6,FALSE)</f>
        <v>750.45899999999995</v>
      </c>
      <c r="K421" s="32">
        <f>VLOOKUP(C421,Products!$A$2:$H$16,7,FALSE)</f>
        <v>0.2</v>
      </c>
      <c r="L421" s="29">
        <f>VLOOKUP(C421,Products!$A$2:$H$16,8,FALSE)</f>
        <v>900.55079999999998</v>
      </c>
      <c r="M421" s="41">
        <f t="shared" si="18"/>
        <v>9</v>
      </c>
      <c r="N421" s="43">
        <f t="shared" si="19"/>
        <v>8104.9571999999998</v>
      </c>
      <c r="O421" s="43">
        <f t="shared" si="20"/>
        <v>6754.1309999999994</v>
      </c>
    </row>
    <row r="422" spans="1:15" x14ac:dyDescent="0.25">
      <c r="A422" s="31">
        <v>41535</v>
      </c>
      <c r="B422" t="s">
        <v>39</v>
      </c>
      <c r="C422" s="30">
        <v>6</v>
      </c>
      <c r="D422" s="30" t="s">
        <v>38</v>
      </c>
      <c r="E422" s="30">
        <v>13</v>
      </c>
      <c r="F422" t="str">
        <f>VLOOKUP(C422,Products!$A$2:$H$16,2,FALSE)</f>
        <v>The Discovery of India</v>
      </c>
      <c r="G422" t="str">
        <f>VLOOKUP(C422,Products!$A$2:$H$16,3,FALSE)</f>
        <v>Jawaharlal Nehru</v>
      </c>
      <c r="H422" t="str">
        <f>VLOOKUP(C422,Products!$A$2:$H$16,4,FALSE)</f>
        <v>Soft Cover</v>
      </c>
      <c r="I422">
        <f>VLOOKUP(C422,Products!$A$2:$H$16,5,FALSE)</f>
        <v>1946</v>
      </c>
      <c r="J422" s="29">
        <f>VLOOKUP(C422,Products!$A$2:$H$16,6,FALSE)</f>
        <v>499</v>
      </c>
      <c r="K422" s="32">
        <f>VLOOKUP(C422,Products!$A$2:$H$16,7,FALSE)</f>
        <v>0.3</v>
      </c>
      <c r="L422" s="29">
        <f>VLOOKUP(C422,Products!$A$2:$H$16,8,FALSE)</f>
        <v>648.70000000000005</v>
      </c>
      <c r="M422" s="41">
        <f t="shared" si="18"/>
        <v>9</v>
      </c>
      <c r="N422" s="43">
        <f t="shared" si="19"/>
        <v>8433.1</v>
      </c>
      <c r="O422" s="43">
        <f t="shared" si="20"/>
        <v>6487</v>
      </c>
    </row>
    <row r="423" spans="1:15" x14ac:dyDescent="0.25">
      <c r="A423" s="31">
        <v>41535</v>
      </c>
      <c r="B423" t="s">
        <v>41</v>
      </c>
      <c r="C423" s="30">
        <v>11</v>
      </c>
      <c r="D423" s="30" t="s">
        <v>38</v>
      </c>
      <c r="E423" s="30">
        <v>4</v>
      </c>
      <c r="F423" t="str">
        <f>VLOOKUP(C423,Products!$A$2:$H$16,2,FALSE)</f>
        <v>The Discovery of India</v>
      </c>
      <c r="G423" t="str">
        <f>VLOOKUP(C423,Products!$A$2:$H$16,3,FALSE)</f>
        <v>Jawaharlal Nehru</v>
      </c>
      <c r="H423" t="str">
        <f>VLOOKUP(C423,Products!$A$2:$H$16,4,FALSE)</f>
        <v>e-book</v>
      </c>
      <c r="I423">
        <f>VLOOKUP(C423,Products!$A$2:$H$16,5,FALSE)</f>
        <v>2004</v>
      </c>
      <c r="J423" s="29">
        <f>VLOOKUP(C423,Products!$A$2:$H$16,6,FALSE)</f>
        <v>250</v>
      </c>
      <c r="K423" s="32">
        <f>VLOOKUP(C423,Products!$A$2:$H$16,7,FALSE)</f>
        <v>0.3</v>
      </c>
      <c r="L423" s="29">
        <f>VLOOKUP(C423,Products!$A$2:$H$16,8,FALSE)</f>
        <v>325</v>
      </c>
      <c r="M423" s="41">
        <f t="shared" si="18"/>
        <v>9</v>
      </c>
      <c r="N423" s="43">
        <f t="shared" si="19"/>
        <v>1300</v>
      </c>
      <c r="O423" s="43">
        <f t="shared" si="20"/>
        <v>1000</v>
      </c>
    </row>
    <row r="424" spans="1:15" x14ac:dyDescent="0.25">
      <c r="A424" s="31">
        <v>41535</v>
      </c>
      <c r="B424" t="s">
        <v>36</v>
      </c>
      <c r="C424" s="30">
        <v>14</v>
      </c>
      <c r="D424" s="30" t="s">
        <v>38</v>
      </c>
      <c r="E424" s="30">
        <v>13</v>
      </c>
      <c r="F424" t="str">
        <f>VLOOKUP(C424,Products!$A$2:$H$16,2,FALSE)</f>
        <v>A Guide to Health</v>
      </c>
      <c r="G424" t="str">
        <f>VLOOKUP(C424,Products!$A$2:$H$16,3,FALSE)</f>
        <v>Mahatma Gandhi</v>
      </c>
      <c r="H424" t="str">
        <f>VLOOKUP(C424,Products!$A$2:$H$16,4,FALSE)</f>
        <v>e-book</v>
      </c>
      <c r="I424">
        <f>VLOOKUP(C424,Products!$A$2:$H$16,5,FALSE)</f>
        <v>2005</v>
      </c>
      <c r="J424" s="29">
        <f>VLOOKUP(C424,Products!$A$2:$H$16,6,FALSE)</f>
        <v>105</v>
      </c>
      <c r="K424" s="32">
        <f>VLOOKUP(C424,Products!$A$2:$H$16,7,FALSE)</f>
        <v>0.15</v>
      </c>
      <c r="L424" s="29">
        <f>VLOOKUP(C424,Products!$A$2:$H$16,8,FALSE)</f>
        <v>120.75</v>
      </c>
      <c r="M424" s="41">
        <f t="shared" si="18"/>
        <v>9</v>
      </c>
      <c r="N424" s="43">
        <f t="shared" si="19"/>
        <v>1569.75</v>
      </c>
      <c r="O424" s="43">
        <f t="shared" si="20"/>
        <v>1365</v>
      </c>
    </row>
    <row r="425" spans="1:15" x14ac:dyDescent="0.25">
      <c r="A425" s="31">
        <v>41536</v>
      </c>
      <c r="B425" t="s">
        <v>35</v>
      </c>
      <c r="C425" s="30">
        <v>13</v>
      </c>
      <c r="D425" s="30" t="s">
        <v>34</v>
      </c>
      <c r="E425" s="30">
        <v>3</v>
      </c>
      <c r="F425" t="str">
        <f>VLOOKUP(C425,Products!$A$2:$H$16,2,FALSE)</f>
        <v>Glimpses of World History</v>
      </c>
      <c r="G425" t="str">
        <f>VLOOKUP(C425,Products!$A$2:$H$16,3,FALSE)</f>
        <v>Jawaharlal Nehru</v>
      </c>
      <c r="H425" t="str">
        <f>VLOOKUP(C425,Products!$A$2:$H$16,4,FALSE)</f>
        <v>e-book</v>
      </c>
      <c r="I425">
        <f>VLOOKUP(C425,Products!$A$2:$H$16,5,FALSE)</f>
        <v>2005</v>
      </c>
      <c r="J425" s="29">
        <f>VLOOKUP(C425,Products!$A$2:$H$16,6,FALSE)</f>
        <v>300</v>
      </c>
      <c r="K425" s="32">
        <f>VLOOKUP(C425,Products!$A$2:$H$16,7,FALSE)</f>
        <v>0.2</v>
      </c>
      <c r="L425" s="29">
        <f>VLOOKUP(C425,Products!$A$2:$H$16,8,FALSE)</f>
        <v>360</v>
      </c>
      <c r="M425" s="41">
        <f t="shared" si="18"/>
        <v>9</v>
      </c>
      <c r="N425" s="43">
        <f t="shared" si="19"/>
        <v>1080</v>
      </c>
      <c r="O425" s="43">
        <f t="shared" si="20"/>
        <v>900</v>
      </c>
    </row>
    <row r="426" spans="1:15" x14ac:dyDescent="0.25">
      <c r="A426" s="31">
        <v>41536</v>
      </c>
      <c r="B426" t="s">
        <v>36</v>
      </c>
      <c r="C426" s="30">
        <v>11</v>
      </c>
      <c r="D426" s="30" t="s">
        <v>34</v>
      </c>
      <c r="E426" s="30">
        <v>11</v>
      </c>
      <c r="F426" t="str">
        <f>VLOOKUP(C426,Products!$A$2:$H$16,2,FALSE)</f>
        <v>The Discovery of India</v>
      </c>
      <c r="G426" t="str">
        <f>VLOOKUP(C426,Products!$A$2:$H$16,3,FALSE)</f>
        <v>Jawaharlal Nehru</v>
      </c>
      <c r="H426" t="str">
        <f>VLOOKUP(C426,Products!$A$2:$H$16,4,FALSE)</f>
        <v>e-book</v>
      </c>
      <c r="I426">
        <f>VLOOKUP(C426,Products!$A$2:$H$16,5,FALSE)</f>
        <v>2004</v>
      </c>
      <c r="J426" s="29">
        <f>VLOOKUP(C426,Products!$A$2:$H$16,6,FALSE)</f>
        <v>250</v>
      </c>
      <c r="K426" s="32">
        <f>VLOOKUP(C426,Products!$A$2:$H$16,7,FALSE)</f>
        <v>0.3</v>
      </c>
      <c r="L426" s="29">
        <f>VLOOKUP(C426,Products!$A$2:$H$16,8,FALSE)</f>
        <v>325</v>
      </c>
      <c r="M426" s="41">
        <f t="shared" si="18"/>
        <v>9</v>
      </c>
      <c r="N426" s="43">
        <f t="shared" si="19"/>
        <v>3575</v>
      </c>
      <c r="O426" s="43">
        <f t="shared" si="20"/>
        <v>2750</v>
      </c>
    </row>
    <row r="427" spans="1:15" x14ac:dyDescent="0.25">
      <c r="A427" s="31">
        <v>41537</v>
      </c>
      <c r="B427" t="s">
        <v>35</v>
      </c>
      <c r="C427" s="30">
        <v>1</v>
      </c>
      <c r="D427" s="30" t="s">
        <v>34</v>
      </c>
      <c r="E427" s="30">
        <v>12</v>
      </c>
      <c r="F427" t="str">
        <f>VLOOKUP(C427,Products!$A$2:$H$16,2,FALSE)</f>
        <v>The Discovery of India</v>
      </c>
      <c r="G427" t="str">
        <f>VLOOKUP(C427,Products!$A$2:$H$16,3,FALSE)</f>
        <v>Jawaharlal Nehru</v>
      </c>
      <c r="H427" t="str">
        <f>VLOOKUP(C427,Products!$A$2:$H$16,4,FALSE)</f>
        <v>Hard Cover</v>
      </c>
      <c r="I427">
        <f>VLOOKUP(C427,Products!$A$2:$H$16,5,FALSE)</f>
        <v>1946</v>
      </c>
      <c r="J427" s="29">
        <f>VLOOKUP(C427,Products!$A$2:$H$16,6,FALSE)</f>
        <v>599.95000000000005</v>
      </c>
      <c r="K427" s="32">
        <f>VLOOKUP(C427,Products!$A$2:$H$16,7,FALSE)</f>
        <v>0.3</v>
      </c>
      <c r="L427" s="29">
        <f>VLOOKUP(C427,Products!$A$2:$H$16,8,FALSE)</f>
        <v>779.93500000000006</v>
      </c>
      <c r="M427" s="41">
        <f t="shared" si="18"/>
        <v>9</v>
      </c>
      <c r="N427" s="43">
        <f t="shared" si="19"/>
        <v>9359.2200000000012</v>
      </c>
      <c r="O427" s="43">
        <f t="shared" si="20"/>
        <v>7199.4000000000005</v>
      </c>
    </row>
    <row r="428" spans="1:15" x14ac:dyDescent="0.25">
      <c r="A428" s="31">
        <v>41539</v>
      </c>
      <c r="B428" t="s">
        <v>39</v>
      </c>
      <c r="C428" s="30">
        <v>12</v>
      </c>
      <c r="D428" s="30" t="s">
        <v>34</v>
      </c>
      <c r="E428" s="30">
        <v>4</v>
      </c>
      <c r="F428" t="str">
        <f>VLOOKUP(C428,Products!$A$2:$H$16,2,FALSE)</f>
        <v>The Story of my Experiments with Truth</v>
      </c>
      <c r="G428" t="str">
        <f>VLOOKUP(C428,Products!$A$2:$H$16,3,FALSE)</f>
        <v>Mahatma Gandhi</v>
      </c>
      <c r="H428" t="str">
        <f>VLOOKUP(C428,Products!$A$2:$H$16,4,FALSE)</f>
        <v>e-book</v>
      </c>
      <c r="I428">
        <f>VLOOKUP(C428,Products!$A$2:$H$16,5,FALSE)</f>
        <v>2004</v>
      </c>
      <c r="J428" s="29">
        <f>VLOOKUP(C428,Products!$A$2:$H$16,6,FALSE)</f>
        <v>50</v>
      </c>
      <c r="K428" s="32">
        <f>VLOOKUP(C428,Products!$A$2:$H$16,7,FALSE)</f>
        <v>0.3</v>
      </c>
      <c r="L428" s="29">
        <f>VLOOKUP(C428,Products!$A$2:$H$16,8,FALSE)</f>
        <v>65</v>
      </c>
      <c r="M428" s="41">
        <f t="shared" si="18"/>
        <v>9</v>
      </c>
      <c r="N428" s="43">
        <f t="shared" si="19"/>
        <v>260</v>
      </c>
      <c r="O428" s="43">
        <f t="shared" si="20"/>
        <v>200</v>
      </c>
    </row>
    <row r="429" spans="1:15" x14ac:dyDescent="0.25">
      <c r="A429" s="31">
        <v>41540</v>
      </c>
      <c r="B429" t="s">
        <v>39</v>
      </c>
      <c r="C429" s="30">
        <v>7</v>
      </c>
      <c r="D429" s="30" t="s">
        <v>34</v>
      </c>
      <c r="E429" s="30">
        <v>6</v>
      </c>
      <c r="F429" t="str">
        <f>VLOOKUP(C429,Products!$A$2:$H$16,2,FALSE)</f>
        <v>The Story of my Experiments with Truth</v>
      </c>
      <c r="G429" t="str">
        <f>VLOOKUP(C429,Products!$A$2:$H$16,3,FALSE)</f>
        <v>Mahatma Gandhi</v>
      </c>
      <c r="H429" t="str">
        <f>VLOOKUP(C429,Products!$A$2:$H$16,4,FALSE)</f>
        <v>Soft Cover</v>
      </c>
      <c r="I429">
        <f>VLOOKUP(C429,Products!$A$2:$H$16,5,FALSE)</f>
        <v>1927</v>
      </c>
      <c r="J429" s="29">
        <f>VLOOKUP(C429,Products!$A$2:$H$16,6,FALSE)</f>
        <v>109</v>
      </c>
      <c r="K429" s="32">
        <f>VLOOKUP(C429,Products!$A$2:$H$16,7,FALSE)</f>
        <v>0.3</v>
      </c>
      <c r="L429" s="29">
        <f>VLOOKUP(C429,Products!$A$2:$H$16,8,FALSE)</f>
        <v>141.69999999999999</v>
      </c>
      <c r="M429" s="41">
        <f t="shared" si="18"/>
        <v>9</v>
      </c>
      <c r="N429" s="43">
        <f t="shared" si="19"/>
        <v>850.19999999999993</v>
      </c>
      <c r="O429" s="43">
        <f t="shared" si="20"/>
        <v>654</v>
      </c>
    </row>
    <row r="430" spans="1:15" x14ac:dyDescent="0.25">
      <c r="A430" s="31">
        <v>41542</v>
      </c>
      <c r="B430" t="s">
        <v>39</v>
      </c>
      <c r="C430" s="30">
        <v>12</v>
      </c>
      <c r="D430" s="30" t="s">
        <v>34</v>
      </c>
      <c r="E430" s="30">
        <v>9</v>
      </c>
      <c r="F430" t="str">
        <f>VLOOKUP(C430,Products!$A$2:$H$16,2,FALSE)</f>
        <v>The Story of my Experiments with Truth</v>
      </c>
      <c r="G430" t="str">
        <f>VLOOKUP(C430,Products!$A$2:$H$16,3,FALSE)</f>
        <v>Mahatma Gandhi</v>
      </c>
      <c r="H430" t="str">
        <f>VLOOKUP(C430,Products!$A$2:$H$16,4,FALSE)</f>
        <v>e-book</v>
      </c>
      <c r="I430">
        <f>VLOOKUP(C430,Products!$A$2:$H$16,5,FALSE)</f>
        <v>2004</v>
      </c>
      <c r="J430" s="29">
        <f>VLOOKUP(C430,Products!$A$2:$H$16,6,FALSE)</f>
        <v>50</v>
      </c>
      <c r="K430" s="32">
        <f>VLOOKUP(C430,Products!$A$2:$H$16,7,FALSE)</f>
        <v>0.3</v>
      </c>
      <c r="L430" s="29">
        <f>VLOOKUP(C430,Products!$A$2:$H$16,8,FALSE)</f>
        <v>65</v>
      </c>
      <c r="M430" s="41">
        <f t="shared" si="18"/>
        <v>9</v>
      </c>
      <c r="N430" s="43">
        <f t="shared" si="19"/>
        <v>585</v>
      </c>
      <c r="O430" s="43">
        <f t="shared" si="20"/>
        <v>450</v>
      </c>
    </row>
    <row r="431" spans="1:15" x14ac:dyDescent="0.25">
      <c r="A431" s="31">
        <v>41542</v>
      </c>
      <c r="B431" t="s">
        <v>41</v>
      </c>
      <c r="C431" s="30">
        <v>11</v>
      </c>
      <c r="D431" s="30" t="s">
        <v>38</v>
      </c>
      <c r="E431" s="30">
        <v>12</v>
      </c>
      <c r="F431" t="str">
        <f>VLOOKUP(C431,Products!$A$2:$H$16,2,FALSE)</f>
        <v>The Discovery of India</v>
      </c>
      <c r="G431" t="str">
        <f>VLOOKUP(C431,Products!$A$2:$H$16,3,FALSE)</f>
        <v>Jawaharlal Nehru</v>
      </c>
      <c r="H431" t="str">
        <f>VLOOKUP(C431,Products!$A$2:$H$16,4,FALSE)</f>
        <v>e-book</v>
      </c>
      <c r="I431">
        <f>VLOOKUP(C431,Products!$A$2:$H$16,5,FALSE)</f>
        <v>2004</v>
      </c>
      <c r="J431" s="29">
        <f>VLOOKUP(C431,Products!$A$2:$H$16,6,FALSE)</f>
        <v>250</v>
      </c>
      <c r="K431" s="32">
        <f>VLOOKUP(C431,Products!$A$2:$H$16,7,FALSE)</f>
        <v>0.3</v>
      </c>
      <c r="L431" s="29">
        <f>VLOOKUP(C431,Products!$A$2:$H$16,8,FALSE)</f>
        <v>325</v>
      </c>
      <c r="M431" s="41">
        <f t="shared" si="18"/>
        <v>9</v>
      </c>
      <c r="N431" s="43">
        <f t="shared" si="19"/>
        <v>3900</v>
      </c>
      <c r="O431" s="43">
        <f t="shared" si="20"/>
        <v>3000</v>
      </c>
    </row>
    <row r="432" spans="1:15" x14ac:dyDescent="0.25">
      <c r="A432" s="31">
        <v>41545</v>
      </c>
      <c r="B432" t="s">
        <v>37</v>
      </c>
      <c r="C432" s="30">
        <v>6</v>
      </c>
      <c r="D432" s="30" t="s">
        <v>34</v>
      </c>
      <c r="E432" s="30">
        <v>18</v>
      </c>
      <c r="F432" t="str">
        <f>VLOOKUP(C432,Products!$A$2:$H$16,2,FALSE)</f>
        <v>The Discovery of India</v>
      </c>
      <c r="G432" t="str">
        <f>VLOOKUP(C432,Products!$A$2:$H$16,3,FALSE)</f>
        <v>Jawaharlal Nehru</v>
      </c>
      <c r="H432" t="str">
        <f>VLOOKUP(C432,Products!$A$2:$H$16,4,FALSE)</f>
        <v>Soft Cover</v>
      </c>
      <c r="I432">
        <f>VLOOKUP(C432,Products!$A$2:$H$16,5,FALSE)</f>
        <v>1946</v>
      </c>
      <c r="J432" s="29">
        <f>VLOOKUP(C432,Products!$A$2:$H$16,6,FALSE)</f>
        <v>499</v>
      </c>
      <c r="K432" s="32">
        <f>VLOOKUP(C432,Products!$A$2:$H$16,7,FALSE)</f>
        <v>0.3</v>
      </c>
      <c r="L432" s="29">
        <f>VLOOKUP(C432,Products!$A$2:$H$16,8,FALSE)</f>
        <v>648.70000000000005</v>
      </c>
      <c r="M432" s="41">
        <f t="shared" si="18"/>
        <v>9</v>
      </c>
      <c r="N432" s="43">
        <f t="shared" si="19"/>
        <v>11676.6</v>
      </c>
      <c r="O432" s="43">
        <f t="shared" si="20"/>
        <v>8982</v>
      </c>
    </row>
    <row r="433" spans="1:15" x14ac:dyDescent="0.25">
      <c r="A433" s="31">
        <v>41546</v>
      </c>
      <c r="B433" t="s">
        <v>35</v>
      </c>
      <c r="C433" s="30">
        <v>15</v>
      </c>
      <c r="D433" s="30" t="s">
        <v>34</v>
      </c>
      <c r="E433" s="30">
        <v>3</v>
      </c>
      <c r="F433" t="str">
        <f>VLOOKUP(C433,Products!$A$2:$H$16,2,FALSE)</f>
        <v>Wings of Fire</v>
      </c>
      <c r="G433" t="str">
        <f>VLOOKUP(C433,Products!$A$2:$H$16,3,FALSE)</f>
        <v>APJ Abdul Kalam,
Arun Tiwari</v>
      </c>
      <c r="H433" t="str">
        <f>VLOOKUP(C433,Products!$A$2:$H$16,4,FALSE)</f>
        <v>e-book</v>
      </c>
      <c r="I433">
        <f>VLOOKUP(C433,Products!$A$2:$H$16,5,FALSE)</f>
        <v>2005</v>
      </c>
      <c r="J433" s="29">
        <f>VLOOKUP(C433,Products!$A$2:$H$16,6,FALSE)</f>
        <v>500</v>
      </c>
      <c r="K433" s="32">
        <f>VLOOKUP(C433,Products!$A$2:$H$16,7,FALSE)</f>
        <v>0.1</v>
      </c>
      <c r="L433" s="29">
        <f>VLOOKUP(C433,Products!$A$2:$H$16,8,FALSE)</f>
        <v>550</v>
      </c>
      <c r="M433" s="41">
        <f t="shared" si="18"/>
        <v>9</v>
      </c>
      <c r="N433" s="43">
        <f t="shared" si="19"/>
        <v>1650</v>
      </c>
      <c r="O433" s="43">
        <f t="shared" si="20"/>
        <v>1500</v>
      </c>
    </row>
    <row r="434" spans="1:15" x14ac:dyDescent="0.25">
      <c r="A434" s="31">
        <v>41546</v>
      </c>
      <c r="B434" t="s">
        <v>40</v>
      </c>
      <c r="C434" s="30">
        <v>8</v>
      </c>
      <c r="D434" s="30" t="s">
        <v>38</v>
      </c>
      <c r="E434" s="30">
        <v>11</v>
      </c>
      <c r="F434" t="str">
        <f>VLOOKUP(C434,Products!$A$2:$H$16,2,FALSE)</f>
        <v>Glimpses of World History</v>
      </c>
      <c r="G434" t="str">
        <f>VLOOKUP(C434,Products!$A$2:$H$16,3,FALSE)</f>
        <v>Jawaharlal Nehru</v>
      </c>
      <c r="H434" t="str">
        <f>VLOOKUP(C434,Products!$A$2:$H$16,4,FALSE)</f>
        <v>Soft Cover</v>
      </c>
      <c r="I434">
        <f>VLOOKUP(C434,Products!$A$2:$H$16,5,FALSE)</f>
        <v>1934</v>
      </c>
      <c r="J434" s="29">
        <f>VLOOKUP(C434,Products!$A$2:$H$16,6,FALSE)</f>
        <v>650</v>
      </c>
      <c r="K434" s="32">
        <f>VLOOKUP(C434,Products!$A$2:$H$16,7,FALSE)</f>
        <v>0.2</v>
      </c>
      <c r="L434" s="29">
        <f>VLOOKUP(C434,Products!$A$2:$H$16,8,FALSE)</f>
        <v>780</v>
      </c>
      <c r="M434" s="41">
        <f t="shared" si="18"/>
        <v>9</v>
      </c>
      <c r="N434" s="43">
        <f t="shared" si="19"/>
        <v>8580</v>
      </c>
      <c r="O434" s="43">
        <f t="shared" si="20"/>
        <v>7150</v>
      </c>
    </row>
    <row r="435" spans="1:15" x14ac:dyDescent="0.25">
      <c r="A435" s="31">
        <v>41548</v>
      </c>
      <c r="B435" t="s">
        <v>42</v>
      </c>
      <c r="C435" s="30">
        <v>5</v>
      </c>
      <c r="D435" s="30" t="s">
        <v>34</v>
      </c>
      <c r="E435" s="30">
        <v>1</v>
      </c>
      <c r="F435" t="str">
        <f>VLOOKUP(C435,Products!$A$2:$H$16,2,FALSE)</f>
        <v>Wings of Fire</v>
      </c>
      <c r="G435" t="str">
        <f>VLOOKUP(C435,Products!$A$2:$H$16,3,FALSE)</f>
        <v>APJ Abdul Kalam,
Arun Tiwari</v>
      </c>
      <c r="H435" t="str">
        <f>VLOOKUP(C435,Products!$A$2:$H$16,4,FALSE)</f>
        <v>Hard Cover</v>
      </c>
      <c r="I435">
        <f>VLOOKUP(C435,Products!$A$2:$H$16,5,FALSE)</f>
        <v>1999</v>
      </c>
      <c r="J435" s="29">
        <f>VLOOKUP(C435,Products!$A$2:$H$16,6,FALSE)</f>
        <v>1275.2488000000001</v>
      </c>
      <c r="K435" s="32">
        <f>VLOOKUP(C435,Products!$A$2:$H$16,7,FALSE)</f>
        <v>0.1</v>
      </c>
      <c r="L435" s="29">
        <f>VLOOKUP(C435,Products!$A$2:$H$16,8,FALSE)</f>
        <v>1402.77368</v>
      </c>
      <c r="M435" s="41">
        <f t="shared" si="18"/>
        <v>10</v>
      </c>
      <c r="N435" s="43">
        <f t="shared" si="19"/>
        <v>1402.77368</v>
      </c>
      <c r="O435" s="43">
        <f t="shared" si="20"/>
        <v>1275.2488000000001</v>
      </c>
    </row>
    <row r="436" spans="1:15" x14ac:dyDescent="0.25">
      <c r="A436" s="31">
        <v>41548</v>
      </c>
      <c r="B436" t="s">
        <v>40</v>
      </c>
      <c r="C436" s="30">
        <v>14</v>
      </c>
      <c r="D436" s="30" t="s">
        <v>34</v>
      </c>
      <c r="E436" s="30">
        <v>3</v>
      </c>
      <c r="F436" t="str">
        <f>VLOOKUP(C436,Products!$A$2:$H$16,2,FALSE)</f>
        <v>A Guide to Health</v>
      </c>
      <c r="G436" t="str">
        <f>VLOOKUP(C436,Products!$A$2:$H$16,3,FALSE)</f>
        <v>Mahatma Gandhi</v>
      </c>
      <c r="H436" t="str">
        <f>VLOOKUP(C436,Products!$A$2:$H$16,4,FALSE)</f>
        <v>e-book</v>
      </c>
      <c r="I436">
        <f>VLOOKUP(C436,Products!$A$2:$H$16,5,FALSE)</f>
        <v>2005</v>
      </c>
      <c r="J436" s="29">
        <f>VLOOKUP(C436,Products!$A$2:$H$16,6,FALSE)</f>
        <v>105</v>
      </c>
      <c r="K436" s="32">
        <f>VLOOKUP(C436,Products!$A$2:$H$16,7,FALSE)</f>
        <v>0.15</v>
      </c>
      <c r="L436" s="29">
        <f>VLOOKUP(C436,Products!$A$2:$H$16,8,FALSE)</f>
        <v>120.75</v>
      </c>
      <c r="M436" s="41">
        <f t="shared" si="18"/>
        <v>10</v>
      </c>
      <c r="N436" s="43">
        <f t="shared" si="19"/>
        <v>362.25</v>
      </c>
      <c r="O436" s="43">
        <f t="shared" si="20"/>
        <v>315</v>
      </c>
    </row>
    <row r="437" spans="1:15" x14ac:dyDescent="0.25">
      <c r="A437" s="31">
        <v>41548</v>
      </c>
      <c r="B437" t="s">
        <v>40</v>
      </c>
      <c r="C437" s="30">
        <v>8</v>
      </c>
      <c r="D437" s="30" t="s">
        <v>34</v>
      </c>
      <c r="E437" s="30">
        <v>9</v>
      </c>
      <c r="F437" t="str">
        <f>VLOOKUP(C437,Products!$A$2:$H$16,2,FALSE)</f>
        <v>Glimpses of World History</v>
      </c>
      <c r="G437" t="str">
        <f>VLOOKUP(C437,Products!$A$2:$H$16,3,FALSE)</f>
        <v>Jawaharlal Nehru</v>
      </c>
      <c r="H437" t="str">
        <f>VLOOKUP(C437,Products!$A$2:$H$16,4,FALSE)</f>
        <v>Soft Cover</v>
      </c>
      <c r="I437">
        <f>VLOOKUP(C437,Products!$A$2:$H$16,5,FALSE)</f>
        <v>1934</v>
      </c>
      <c r="J437" s="29">
        <f>VLOOKUP(C437,Products!$A$2:$H$16,6,FALSE)</f>
        <v>650</v>
      </c>
      <c r="K437" s="32">
        <f>VLOOKUP(C437,Products!$A$2:$H$16,7,FALSE)</f>
        <v>0.2</v>
      </c>
      <c r="L437" s="29">
        <f>VLOOKUP(C437,Products!$A$2:$H$16,8,FALSE)</f>
        <v>780</v>
      </c>
      <c r="M437" s="41">
        <f t="shared" si="18"/>
        <v>10</v>
      </c>
      <c r="N437" s="43">
        <f t="shared" si="19"/>
        <v>7020</v>
      </c>
      <c r="O437" s="43">
        <f t="shared" si="20"/>
        <v>5850</v>
      </c>
    </row>
    <row r="438" spans="1:15" x14ac:dyDescent="0.25">
      <c r="A438" s="31">
        <v>41549</v>
      </c>
      <c r="B438" t="s">
        <v>33</v>
      </c>
      <c r="C438" s="30">
        <v>4</v>
      </c>
      <c r="D438" s="30" t="s">
        <v>34</v>
      </c>
      <c r="E438" s="30">
        <v>14</v>
      </c>
      <c r="F438" t="str">
        <f>VLOOKUP(C438,Products!$A$2:$H$16,2,FALSE)</f>
        <v>A Guide to Health</v>
      </c>
      <c r="G438" t="str">
        <f>VLOOKUP(C438,Products!$A$2:$H$16,3,FALSE)</f>
        <v>Mahatma Gandhi</v>
      </c>
      <c r="H438" t="str">
        <f>VLOOKUP(C438,Products!$A$2:$H$16,4,FALSE)</f>
        <v>Hard Cover</v>
      </c>
      <c r="I438">
        <f>VLOOKUP(C438,Products!$A$2:$H$16,5,FALSE)</f>
        <v>1921</v>
      </c>
      <c r="J438" s="29">
        <f>VLOOKUP(C438,Products!$A$2:$H$16,6,FALSE)</f>
        <v>250</v>
      </c>
      <c r="K438" s="32">
        <f>VLOOKUP(C438,Products!$A$2:$H$16,7,FALSE)</f>
        <v>0.15</v>
      </c>
      <c r="L438" s="29">
        <f>VLOOKUP(C438,Products!$A$2:$H$16,8,FALSE)</f>
        <v>287.5</v>
      </c>
      <c r="M438" s="41">
        <f t="shared" si="18"/>
        <v>10</v>
      </c>
      <c r="N438" s="43">
        <f t="shared" si="19"/>
        <v>4025</v>
      </c>
      <c r="O438" s="43">
        <f t="shared" si="20"/>
        <v>3500</v>
      </c>
    </row>
    <row r="439" spans="1:15" x14ac:dyDescent="0.25">
      <c r="A439" s="31">
        <v>41549</v>
      </c>
      <c r="B439" t="s">
        <v>41</v>
      </c>
      <c r="C439" s="30">
        <v>13</v>
      </c>
      <c r="D439" s="30" t="s">
        <v>38</v>
      </c>
      <c r="E439" s="30">
        <v>1</v>
      </c>
      <c r="F439" t="str">
        <f>VLOOKUP(C439,Products!$A$2:$H$16,2,FALSE)</f>
        <v>Glimpses of World History</v>
      </c>
      <c r="G439" t="str">
        <f>VLOOKUP(C439,Products!$A$2:$H$16,3,FALSE)</f>
        <v>Jawaharlal Nehru</v>
      </c>
      <c r="H439" t="str">
        <f>VLOOKUP(C439,Products!$A$2:$H$16,4,FALSE)</f>
        <v>e-book</v>
      </c>
      <c r="I439">
        <f>VLOOKUP(C439,Products!$A$2:$H$16,5,FALSE)</f>
        <v>2005</v>
      </c>
      <c r="J439" s="29">
        <f>VLOOKUP(C439,Products!$A$2:$H$16,6,FALSE)</f>
        <v>300</v>
      </c>
      <c r="K439" s="32">
        <f>VLOOKUP(C439,Products!$A$2:$H$16,7,FALSE)</f>
        <v>0.2</v>
      </c>
      <c r="L439" s="29">
        <f>VLOOKUP(C439,Products!$A$2:$H$16,8,FALSE)</f>
        <v>360</v>
      </c>
      <c r="M439" s="41">
        <f t="shared" si="18"/>
        <v>10</v>
      </c>
      <c r="N439" s="43">
        <f t="shared" si="19"/>
        <v>360</v>
      </c>
      <c r="O439" s="43">
        <f t="shared" si="20"/>
        <v>300</v>
      </c>
    </row>
    <row r="440" spans="1:15" x14ac:dyDescent="0.25">
      <c r="A440" s="31">
        <v>41549</v>
      </c>
      <c r="B440" t="s">
        <v>42</v>
      </c>
      <c r="C440" s="30">
        <v>6</v>
      </c>
      <c r="D440" s="30" t="s">
        <v>38</v>
      </c>
      <c r="E440" s="30">
        <v>13</v>
      </c>
      <c r="F440" t="str">
        <f>VLOOKUP(C440,Products!$A$2:$H$16,2,FALSE)</f>
        <v>The Discovery of India</v>
      </c>
      <c r="G440" t="str">
        <f>VLOOKUP(C440,Products!$A$2:$H$16,3,FALSE)</f>
        <v>Jawaharlal Nehru</v>
      </c>
      <c r="H440" t="str">
        <f>VLOOKUP(C440,Products!$A$2:$H$16,4,FALSE)</f>
        <v>Soft Cover</v>
      </c>
      <c r="I440">
        <f>VLOOKUP(C440,Products!$A$2:$H$16,5,FALSE)</f>
        <v>1946</v>
      </c>
      <c r="J440" s="29">
        <f>VLOOKUP(C440,Products!$A$2:$H$16,6,FALSE)</f>
        <v>499</v>
      </c>
      <c r="K440" s="32">
        <f>VLOOKUP(C440,Products!$A$2:$H$16,7,FALSE)</f>
        <v>0.3</v>
      </c>
      <c r="L440" s="29">
        <f>VLOOKUP(C440,Products!$A$2:$H$16,8,FALSE)</f>
        <v>648.70000000000005</v>
      </c>
      <c r="M440" s="41">
        <f t="shared" si="18"/>
        <v>10</v>
      </c>
      <c r="N440" s="43">
        <f t="shared" si="19"/>
        <v>8433.1</v>
      </c>
      <c r="O440" s="43">
        <f t="shared" si="20"/>
        <v>6487</v>
      </c>
    </row>
    <row r="441" spans="1:15" x14ac:dyDescent="0.25">
      <c r="A441" s="31">
        <v>41550</v>
      </c>
      <c r="B441" t="s">
        <v>33</v>
      </c>
      <c r="C441" s="30">
        <v>8</v>
      </c>
      <c r="D441" s="30" t="s">
        <v>34</v>
      </c>
      <c r="E441" s="30">
        <v>10</v>
      </c>
      <c r="F441" t="str">
        <f>VLOOKUP(C441,Products!$A$2:$H$16,2,FALSE)</f>
        <v>Glimpses of World History</v>
      </c>
      <c r="G441" t="str">
        <f>VLOOKUP(C441,Products!$A$2:$H$16,3,FALSE)</f>
        <v>Jawaharlal Nehru</v>
      </c>
      <c r="H441" t="str">
        <f>VLOOKUP(C441,Products!$A$2:$H$16,4,FALSE)</f>
        <v>Soft Cover</v>
      </c>
      <c r="I441">
        <f>VLOOKUP(C441,Products!$A$2:$H$16,5,FALSE)</f>
        <v>1934</v>
      </c>
      <c r="J441" s="29">
        <f>VLOOKUP(C441,Products!$A$2:$H$16,6,FALSE)</f>
        <v>650</v>
      </c>
      <c r="K441" s="32">
        <f>VLOOKUP(C441,Products!$A$2:$H$16,7,FALSE)</f>
        <v>0.2</v>
      </c>
      <c r="L441" s="29">
        <f>VLOOKUP(C441,Products!$A$2:$H$16,8,FALSE)</f>
        <v>780</v>
      </c>
      <c r="M441" s="41">
        <f t="shared" si="18"/>
        <v>10</v>
      </c>
      <c r="N441" s="43">
        <f t="shared" si="19"/>
        <v>7800</v>
      </c>
      <c r="O441" s="43">
        <f t="shared" si="20"/>
        <v>6500</v>
      </c>
    </row>
    <row r="442" spans="1:15" x14ac:dyDescent="0.25">
      <c r="A442" s="31">
        <v>41552</v>
      </c>
      <c r="B442" t="s">
        <v>35</v>
      </c>
      <c r="C442" s="30">
        <v>6</v>
      </c>
      <c r="D442" s="30" t="s">
        <v>38</v>
      </c>
      <c r="E442" s="30">
        <v>3</v>
      </c>
      <c r="F442" t="str">
        <f>VLOOKUP(C442,Products!$A$2:$H$16,2,FALSE)</f>
        <v>The Discovery of India</v>
      </c>
      <c r="G442" t="str">
        <f>VLOOKUP(C442,Products!$A$2:$H$16,3,FALSE)</f>
        <v>Jawaharlal Nehru</v>
      </c>
      <c r="H442" t="str">
        <f>VLOOKUP(C442,Products!$A$2:$H$16,4,FALSE)</f>
        <v>Soft Cover</v>
      </c>
      <c r="I442">
        <f>VLOOKUP(C442,Products!$A$2:$H$16,5,FALSE)</f>
        <v>1946</v>
      </c>
      <c r="J442" s="29">
        <f>VLOOKUP(C442,Products!$A$2:$H$16,6,FALSE)</f>
        <v>499</v>
      </c>
      <c r="K442" s="32">
        <f>VLOOKUP(C442,Products!$A$2:$H$16,7,FALSE)</f>
        <v>0.3</v>
      </c>
      <c r="L442" s="29">
        <f>VLOOKUP(C442,Products!$A$2:$H$16,8,FALSE)</f>
        <v>648.70000000000005</v>
      </c>
      <c r="M442" s="41">
        <f t="shared" si="18"/>
        <v>10</v>
      </c>
      <c r="N442" s="43">
        <f t="shared" si="19"/>
        <v>1946.1000000000001</v>
      </c>
      <c r="O442" s="43">
        <f t="shared" si="20"/>
        <v>1497</v>
      </c>
    </row>
    <row r="443" spans="1:15" x14ac:dyDescent="0.25">
      <c r="A443" s="31">
        <v>41554</v>
      </c>
      <c r="B443" t="s">
        <v>35</v>
      </c>
      <c r="C443" s="30">
        <v>1</v>
      </c>
      <c r="D443" s="30" t="s">
        <v>34</v>
      </c>
      <c r="E443" s="30">
        <v>13</v>
      </c>
      <c r="F443" t="str">
        <f>VLOOKUP(C443,Products!$A$2:$H$16,2,FALSE)</f>
        <v>The Discovery of India</v>
      </c>
      <c r="G443" t="str">
        <f>VLOOKUP(C443,Products!$A$2:$H$16,3,FALSE)</f>
        <v>Jawaharlal Nehru</v>
      </c>
      <c r="H443" t="str">
        <f>VLOOKUP(C443,Products!$A$2:$H$16,4,FALSE)</f>
        <v>Hard Cover</v>
      </c>
      <c r="I443">
        <f>VLOOKUP(C443,Products!$A$2:$H$16,5,FALSE)</f>
        <v>1946</v>
      </c>
      <c r="J443" s="29">
        <f>VLOOKUP(C443,Products!$A$2:$H$16,6,FALSE)</f>
        <v>599.95000000000005</v>
      </c>
      <c r="K443" s="32">
        <f>VLOOKUP(C443,Products!$A$2:$H$16,7,FALSE)</f>
        <v>0.3</v>
      </c>
      <c r="L443" s="29">
        <f>VLOOKUP(C443,Products!$A$2:$H$16,8,FALSE)</f>
        <v>779.93500000000006</v>
      </c>
      <c r="M443" s="41">
        <f t="shared" si="18"/>
        <v>10</v>
      </c>
      <c r="N443" s="43">
        <f t="shared" si="19"/>
        <v>10139.155000000001</v>
      </c>
      <c r="O443" s="43">
        <f t="shared" si="20"/>
        <v>7799.35</v>
      </c>
    </row>
    <row r="444" spans="1:15" x14ac:dyDescent="0.25">
      <c r="A444" s="31">
        <v>41554</v>
      </c>
      <c r="B444" t="s">
        <v>35</v>
      </c>
      <c r="C444" s="30">
        <v>2</v>
      </c>
      <c r="D444" s="30" t="s">
        <v>34</v>
      </c>
      <c r="E444" s="30">
        <v>13</v>
      </c>
      <c r="F444" t="str">
        <f>VLOOKUP(C444,Products!$A$2:$H$16,2,FALSE)</f>
        <v>The Story of my Experiments with Truth</v>
      </c>
      <c r="G444" t="str">
        <f>VLOOKUP(C444,Products!$A$2:$H$16,3,FALSE)</f>
        <v>Mahatma Gandhi</v>
      </c>
      <c r="H444" t="str">
        <f>VLOOKUP(C444,Products!$A$2:$H$16,4,FALSE)</f>
        <v>Hard Cover</v>
      </c>
      <c r="I444">
        <f>VLOOKUP(C444,Products!$A$2:$H$16,5,FALSE)</f>
        <v>1927</v>
      </c>
      <c r="J444" s="29">
        <f>VLOOKUP(C444,Products!$A$2:$H$16,6,FALSE)</f>
        <v>159</v>
      </c>
      <c r="K444" s="32">
        <f>VLOOKUP(C444,Products!$A$2:$H$16,7,FALSE)</f>
        <v>0.3</v>
      </c>
      <c r="L444" s="29">
        <f>VLOOKUP(C444,Products!$A$2:$H$16,8,FALSE)</f>
        <v>206.7</v>
      </c>
      <c r="M444" s="41">
        <f t="shared" si="18"/>
        <v>10</v>
      </c>
      <c r="N444" s="43">
        <f t="shared" si="19"/>
        <v>2687.1</v>
      </c>
      <c r="O444" s="43">
        <f t="shared" si="20"/>
        <v>2067</v>
      </c>
    </row>
    <row r="445" spans="1:15" x14ac:dyDescent="0.25">
      <c r="A445" s="31">
        <v>41555</v>
      </c>
      <c r="B445" t="s">
        <v>37</v>
      </c>
      <c r="C445" s="30">
        <v>5</v>
      </c>
      <c r="D445" s="30" t="s">
        <v>38</v>
      </c>
      <c r="E445" s="30">
        <v>13</v>
      </c>
      <c r="F445" t="str">
        <f>VLOOKUP(C445,Products!$A$2:$H$16,2,FALSE)</f>
        <v>Wings of Fire</v>
      </c>
      <c r="G445" t="str">
        <f>VLOOKUP(C445,Products!$A$2:$H$16,3,FALSE)</f>
        <v>APJ Abdul Kalam,
Arun Tiwari</v>
      </c>
      <c r="H445" t="str">
        <f>VLOOKUP(C445,Products!$A$2:$H$16,4,FALSE)</f>
        <v>Hard Cover</v>
      </c>
      <c r="I445">
        <f>VLOOKUP(C445,Products!$A$2:$H$16,5,FALSE)</f>
        <v>1999</v>
      </c>
      <c r="J445" s="29">
        <f>VLOOKUP(C445,Products!$A$2:$H$16,6,FALSE)</f>
        <v>1275.2488000000001</v>
      </c>
      <c r="K445" s="32">
        <f>VLOOKUP(C445,Products!$A$2:$H$16,7,FALSE)</f>
        <v>0.1</v>
      </c>
      <c r="L445" s="29">
        <f>VLOOKUP(C445,Products!$A$2:$H$16,8,FALSE)</f>
        <v>1402.77368</v>
      </c>
      <c r="M445" s="41">
        <f t="shared" si="18"/>
        <v>10</v>
      </c>
      <c r="N445" s="43">
        <f t="shared" si="19"/>
        <v>18236.057840000001</v>
      </c>
      <c r="O445" s="43">
        <f t="shared" si="20"/>
        <v>16578.234400000001</v>
      </c>
    </row>
    <row r="446" spans="1:15" x14ac:dyDescent="0.25">
      <c r="A446" s="31">
        <v>41556</v>
      </c>
      <c r="B446" t="s">
        <v>35</v>
      </c>
      <c r="C446" s="30">
        <v>4</v>
      </c>
      <c r="D446" s="30" t="s">
        <v>34</v>
      </c>
      <c r="E446" s="30">
        <v>18</v>
      </c>
      <c r="F446" t="str">
        <f>VLOOKUP(C446,Products!$A$2:$H$16,2,FALSE)</f>
        <v>A Guide to Health</v>
      </c>
      <c r="G446" t="str">
        <f>VLOOKUP(C446,Products!$A$2:$H$16,3,FALSE)</f>
        <v>Mahatma Gandhi</v>
      </c>
      <c r="H446" t="str">
        <f>VLOOKUP(C446,Products!$A$2:$H$16,4,FALSE)</f>
        <v>Hard Cover</v>
      </c>
      <c r="I446">
        <f>VLOOKUP(C446,Products!$A$2:$H$16,5,FALSE)</f>
        <v>1921</v>
      </c>
      <c r="J446" s="29">
        <f>VLOOKUP(C446,Products!$A$2:$H$16,6,FALSE)</f>
        <v>250</v>
      </c>
      <c r="K446" s="32">
        <f>VLOOKUP(C446,Products!$A$2:$H$16,7,FALSE)</f>
        <v>0.15</v>
      </c>
      <c r="L446" s="29">
        <f>VLOOKUP(C446,Products!$A$2:$H$16,8,FALSE)</f>
        <v>287.5</v>
      </c>
      <c r="M446" s="41">
        <f t="shared" si="18"/>
        <v>10</v>
      </c>
      <c r="N446" s="43">
        <f t="shared" si="19"/>
        <v>5175</v>
      </c>
      <c r="O446" s="43">
        <f t="shared" si="20"/>
        <v>4500</v>
      </c>
    </row>
    <row r="447" spans="1:15" x14ac:dyDescent="0.25">
      <c r="A447" s="31">
        <v>41556</v>
      </c>
      <c r="B447" t="s">
        <v>36</v>
      </c>
      <c r="C447" s="30">
        <v>5</v>
      </c>
      <c r="D447" s="30" t="s">
        <v>38</v>
      </c>
      <c r="E447" s="30">
        <v>19</v>
      </c>
      <c r="F447" t="str">
        <f>VLOOKUP(C447,Products!$A$2:$H$16,2,FALSE)</f>
        <v>Wings of Fire</v>
      </c>
      <c r="G447" t="str">
        <f>VLOOKUP(C447,Products!$A$2:$H$16,3,FALSE)</f>
        <v>APJ Abdul Kalam,
Arun Tiwari</v>
      </c>
      <c r="H447" t="str">
        <f>VLOOKUP(C447,Products!$A$2:$H$16,4,FALSE)</f>
        <v>Hard Cover</v>
      </c>
      <c r="I447">
        <f>VLOOKUP(C447,Products!$A$2:$H$16,5,FALSE)</f>
        <v>1999</v>
      </c>
      <c r="J447" s="29">
        <f>VLOOKUP(C447,Products!$A$2:$H$16,6,FALSE)</f>
        <v>1275.2488000000001</v>
      </c>
      <c r="K447" s="32">
        <f>VLOOKUP(C447,Products!$A$2:$H$16,7,FALSE)</f>
        <v>0.1</v>
      </c>
      <c r="L447" s="29">
        <f>VLOOKUP(C447,Products!$A$2:$H$16,8,FALSE)</f>
        <v>1402.77368</v>
      </c>
      <c r="M447" s="41">
        <f t="shared" si="18"/>
        <v>10</v>
      </c>
      <c r="N447" s="43">
        <f t="shared" si="19"/>
        <v>26652.699919999999</v>
      </c>
      <c r="O447" s="43">
        <f t="shared" si="20"/>
        <v>24229.727200000001</v>
      </c>
    </row>
    <row r="448" spans="1:15" x14ac:dyDescent="0.25">
      <c r="A448" s="31">
        <v>41557</v>
      </c>
      <c r="B448" t="s">
        <v>33</v>
      </c>
      <c r="C448" s="30">
        <v>14</v>
      </c>
      <c r="D448" s="30" t="s">
        <v>34</v>
      </c>
      <c r="E448" s="30">
        <v>14</v>
      </c>
      <c r="F448" t="str">
        <f>VLOOKUP(C448,Products!$A$2:$H$16,2,FALSE)</f>
        <v>A Guide to Health</v>
      </c>
      <c r="G448" t="str">
        <f>VLOOKUP(C448,Products!$A$2:$H$16,3,FALSE)</f>
        <v>Mahatma Gandhi</v>
      </c>
      <c r="H448" t="str">
        <f>VLOOKUP(C448,Products!$A$2:$H$16,4,FALSE)</f>
        <v>e-book</v>
      </c>
      <c r="I448">
        <f>VLOOKUP(C448,Products!$A$2:$H$16,5,FALSE)</f>
        <v>2005</v>
      </c>
      <c r="J448" s="29">
        <f>VLOOKUP(C448,Products!$A$2:$H$16,6,FALSE)</f>
        <v>105</v>
      </c>
      <c r="K448" s="32">
        <f>VLOOKUP(C448,Products!$A$2:$H$16,7,FALSE)</f>
        <v>0.15</v>
      </c>
      <c r="L448" s="29">
        <f>VLOOKUP(C448,Products!$A$2:$H$16,8,FALSE)</f>
        <v>120.75</v>
      </c>
      <c r="M448" s="41">
        <f t="shared" si="18"/>
        <v>10</v>
      </c>
      <c r="N448" s="43">
        <f t="shared" si="19"/>
        <v>1690.5</v>
      </c>
      <c r="O448" s="43">
        <f t="shared" si="20"/>
        <v>1470</v>
      </c>
    </row>
    <row r="449" spans="1:15" x14ac:dyDescent="0.25">
      <c r="A449" s="31">
        <v>41557</v>
      </c>
      <c r="B449" t="s">
        <v>42</v>
      </c>
      <c r="C449" s="30">
        <v>11</v>
      </c>
      <c r="D449" s="30" t="s">
        <v>38</v>
      </c>
      <c r="E449" s="30">
        <v>9</v>
      </c>
      <c r="F449" t="str">
        <f>VLOOKUP(C449,Products!$A$2:$H$16,2,FALSE)</f>
        <v>The Discovery of India</v>
      </c>
      <c r="G449" t="str">
        <f>VLOOKUP(C449,Products!$A$2:$H$16,3,FALSE)</f>
        <v>Jawaharlal Nehru</v>
      </c>
      <c r="H449" t="str">
        <f>VLOOKUP(C449,Products!$A$2:$H$16,4,FALSE)</f>
        <v>e-book</v>
      </c>
      <c r="I449">
        <f>VLOOKUP(C449,Products!$A$2:$H$16,5,FALSE)</f>
        <v>2004</v>
      </c>
      <c r="J449" s="29">
        <f>VLOOKUP(C449,Products!$A$2:$H$16,6,FALSE)</f>
        <v>250</v>
      </c>
      <c r="K449" s="32">
        <f>VLOOKUP(C449,Products!$A$2:$H$16,7,FALSE)</f>
        <v>0.3</v>
      </c>
      <c r="L449" s="29">
        <f>VLOOKUP(C449,Products!$A$2:$H$16,8,FALSE)</f>
        <v>325</v>
      </c>
      <c r="M449" s="41">
        <f t="shared" si="18"/>
        <v>10</v>
      </c>
      <c r="N449" s="43">
        <f t="shared" si="19"/>
        <v>2925</v>
      </c>
      <c r="O449" s="43">
        <f t="shared" si="20"/>
        <v>2250</v>
      </c>
    </row>
    <row r="450" spans="1:15" x14ac:dyDescent="0.25">
      <c r="A450" s="31">
        <v>41557</v>
      </c>
      <c r="B450" t="s">
        <v>39</v>
      </c>
      <c r="C450" s="30">
        <v>3</v>
      </c>
      <c r="D450" s="30" t="s">
        <v>34</v>
      </c>
      <c r="E450" s="30">
        <v>12</v>
      </c>
      <c r="F450" t="str">
        <f>VLOOKUP(C450,Products!$A$2:$H$16,2,FALSE)</f>
        <v>Glimpses of World History</v>
      </c>
      <c r="G450" t="str">
        <f>VLOOKUP(C450,Products!$A$2:$H$16,3,FALSE)</f>
        <v>Jawaharlal Nehru</v>
      </c>
      <c r="H450" t="str">
        <f>VLOOKUP(C450,Products!$A$2:$H$16,4,FALSE)</f>
        <v>Hard Cover</v>
      </c>
      <c r="I450">
        <f>VLOOKUP(C450,Products!$A$2:$H$16,5,FALSE)</f>
        <v>1934</v>
      </c>
      <c r="J450" s="29">
        <f>VLOOKUP(C450,Products!$A$2:$H$16,6,FALSE)</f>
        <v>750.45899999999995</v>
      </c>
      <c r="K450" s="32">
        <f>VLOOKUP(C450,Products!$A$2:$H$16,7,FALSE)</f>
        <v>0.2</v>
      </c>
      <c r="L450" s="29">
        <f>VLOOKUP(C450,Products!$A$2:$H$16,8,FALSE)</f>
        <v>900.55079999999998</v>
      </c>
      <c r="M450" s="41">
        <f t="shared" si="18"/>
        <v>10</v>
      </c>
      <c r="N450" s="43">
        <f t="shared" si="19"/>
        <v>10806.6096</v>
      </c>
      <c r="O450" s="43">
        <f t="shared" si="20"/>
        <v>9005.5079999999998</v>
      </c>
    </row>
    <row r="451" spans="1:15" x14ac:dyDescent="0.25">
      <c r="A451" s="31">
        <v>41557</v>
      </c>
      <c r="B451" t="s">
        <v>42</v>
      </c>
      <c r="C451" s="30">
        <v>2</v>
      </c>
      <c r="D451" s="30" t="s">
        <v>38</v>
      </c>
      <c r="E451" s="30">
        <v>6</v>
      </c>
      <c r="F451" t="str">
        <f>VLOOKUP(C451,Products!$A$2:$H$16,2,FALSE)</f>
        <v>The Story of my Experiments with Truth</v>
      </c>
      <c r="G451" t="str">
        <f>VLOOKUP(C451,Products!$A$2:$H$16,3,FALSE)</f>
        <v>Mahatma Gandhi</v>
      </c>
      <c r="H451" t="str">
        <f>VLOOKUP(C451,Products!$A$2:$H$16,4,FALSE)</f>
        <v>Hard Cover</v>
      </c>
      <c r="I451">
        <f>VLOOKUP(C451,Products!$A$2:$H$16,5,FALSE)</f>
        <v>1927</v>
      </c>
      <c r="J451" s="29">
        <f>VLOOKUP(C451,Products!$A$2:$H$16,6,FALSE)</f>
        <v>159</v>
      </c>
      <c r="K451" s="32">
        <f>VLOOKUP(C451,Products!$A$2:$H$16,7,FALSE)</f>
        <v>0.3</v>
      </c>
      <c r="L451" s="29">
        <f>VLOOKUP(C451,Products!$A$2:$H$16,8,FALSE)</f>
        <v>206.7</v>
      </c>
      <c r="M451" s="41">
        <f t="shared" ref="M451:M514" si="21">MONTH(A451)</f>
        <v>10</v>
      </c>
      <c r="N451" s="43">
        <f t="shared" ref="N451:N514" si="22">L451*E451</f>
        <v>1240.1999999999998</v>
      </c>
      <c r="O451" s="43">
        <f t="shared" ref="O451:O514" si="23">J451*E451</f>
        <v>954</v>
      </c>
    </row>
    <row r="452" spans="1:15" x14ac:dyDescent="0.25">
      <c r="A452" s="31">
        <v>41558</v>
      </c>
      <c r="B452" t="s">
        <v>40</v>
      </c>
      <c r="C452" s="30">
        <v>10</v>
      </c>
      <c r="D452" s="30" t="s">
        <v>34</v>
      </c>
      <c r="E452" s="30">
        <v>1</v>
      </c>
      <c r="F452" t="str">
        <f>VLOOKUP(C452,Products!$A$2:$H$16,2,FALSE)</f>
        <v>Wings of Fire</v>
      </c>
      <c r="G452" t="str">
        <f>VLOOKUP(C452,Products!$A$2:$H$16,3,FALSE)</f>
        <v>APJ Abdul Kalam,
Arun Tiwari</v>
      </c>
      <c r="H452" t="str">
        <f>VLOOKUP(C452,Products!$A$2:$H$16,4,FALSE)</f>
        <v>Soft Cover</v>
      </c>
      <c r="I452">
        <f>VLOOKUP(C452,Products!$A$2:$H$16,5,FALSE)</f>
        <v>1999</v>
      </c>
      <c r="J452" s="29">
        <f>VLOOKUP(C452,Products!$A$2:$H$16,6,FALSE)</f>
        <v>1200</v>
      </c>
      <c r="K452" s="32">
        <f>VLOOKUP(C452,Products!$A$2:$H$16,7,FALSE)</f>
        <v>0.1</v>
      </c>
      <c r="L452" s="29">
        <f>VLOOKUP(C452,Products!$A$2:$H$16,8,FALSE)</f>
        <v>1320</v>
      </c>
      <c r="M452" s="41">
        <f t="shared" si="21"/>
        <v>10</v>
      </c>
      <c r="N452" s="43">
        <f t="shared" si="22"/>
        <v>1320</v>
      </c>
      <c r="O452" s="43">
        <f t="shared" si="23"/>
        <v>1200</v>
      </c>
    </row>
    <row r="453" spans="1:15" x14ac:dyDescent="0.25">
      <c r="A453" s="31">
        <v>41558</v>
      </c>
      <c r="B453" t="s">
        <v>36</v>
      </c>
      <c r="C453" s="30">
        <v>7</v>
      </c>
      <c r="D453" s="30" t="s">
        <v>34</v>
      </c>
      <c r="E453" s="30">
        <v>14</v>
      </c>
      <c r="F453" t="str">
        <f>VLOOKUP(C453,Products!$A$2:$H$16,2,FALSE)</f>
        <v>The Story of my Experiments with Truth</v>
      </c>
      <c r="G453" t="str">
        <f>VLOOKUP(C453,Products!$A$2:$H$16,3,FALSE)</f>
        <v>Mahatma Gandhi</v>
      </c>
      <c r="H453" t="str">
        <f>VLOOKUP(C453,Products!$A$2:$H$16,4,FALSE)</f>
        <v>Soft Cover</v>
      </c>
      <c r="I453">
        <f>VLOOKUP(C453,Products!$A$2:$H$16,5,FALSE)</f>
        <v>1927</v>
      </c>
      <c r="J453" s="29">
        <f>VLOOKUP(C453,Products!$A$2:$H$16,6,FALSE)</f>
        <v>109</v>
      </c>
      <c r="K453" s="32">
        <f>VLOOKUP(C453,Products!$A$2:$H$16,7,FALSE)</f>
        <v>0.3</v>
      </c>
      <c r="L453" s="29">
        <f>VLOOKUP(C453,Products!$A$2:$H$16,8,FALSE)</f>
        <v>141.69999999999999</v>
      </c>
      <c r="M453" s="41">
        <f t="shared" si="21"/>
        <v>10</v>
      </c>
      <c r="N453" s="43">
        <f t="shared" si="22"/>
        <v>1983.7999999999997</v>
      </c>
      <c r="O453" s="43">
        <f t="shared" si="23"/>
        <v>1526</v>
      </c>
    </row>
    <row r="454" spans="1:15" x14ac:dyDescent="0.25">
      <c r="A454" s="31">
        <v>41560</v>
      </c>
      <c r="B454" t="s">
        <v>33</v>
      </c>
      <c r="C454" s="30">
        <v>6</v>
      </c>
      <c r="D454" s="30" t="s">
        <v>34</v>
      </c>
      <c r="E454" s="30">
        <v>8</v>
      </c>
      <c r="F454" t="str">
        <f>VLOOKUP(C454,Products!$A$2:$H$16,2,FALSE)</f>
        <v>The Discovery of India</v>
      </c>
      <c r="G454" t="str">
        <f>VLOOKUP(C454,Products!$A$2:$H$16,3,FALSE)</f>
        <v>Jawaharlal Nehru</v>
      </c>
      <c r="H454" t="str">
        <f>VLOOKUP(C454,Products!$A$2:$H$16,4,FALSE)</f>
        <v>Soft Cover</v>
      </c>
      <c r="I454">
        <f>VLOOKUP(C454,Products!$A$2:$H$16,5,FALSE)</f>
        <v>1946</v>
      </c>
      <c r="J454" s="29">
        <f>VLOOKUP(C454,Products!$A$2:$H$16,6,FALSE)</f>
        <v>499</v>
      </c>
      <c r="K454" s="32">
        <f>VLOOKUP(C454,Products!$A$2:$H$16,7,FALSE)</f>
        <v>0.3</v>
      </c>
      <c r="L454" s="29">
        <f>VLOOKUP(C454,Products!$A$2:$H$16,8,FALSE)</f>
        <v>648.70000000000005</v>
      </c>
      <c r="M454" s="41">
        <f t="shared" si="21"/>
        <v>10</v>
      </c>
      <c r="N454" s="43">
        <f t="shared" si="22"/>
        <v>5189.6000000000004</v>
      </c>
      <c r="O454" s="43">
        <f t="shared" si="23"/>
        <v>3992</v>
      </c>
    </row>
    <row r="455" spans="1:15" x14ac:dyDescent="0.25">
      <c r="A455" s="31">
        <v>41561</v>
      </c>
      <c r="B455" t="s">
        <v>36</v>
      </c>
      <c r="C455" s="30">
        <v>2</v>
      </c>
      <c r="D455" s="30" t="s">
        <v>38</v>
      </c>
      <c r="E455" s="30">
        <v>13</v>
      </c>
      <c r="F455" t="str">
        <f>VLOOKUP(C455,Products!$A$2:$H$16,2,FALSE)</f>
        <v>The Story of my Experiments with Truth</v>
      </c>
      <c r="G455" t="str">
        <f>VLOOKUP(C455,Products!$A$2:$H$16,3,FALSE)</f>
        <v>Mahatma Gandhi</v>
      </c>
      <c r="H455" t="str">
        <f>VLOOKUP(C455,Products!$A$2:$H$16,4,FALSE)</f>
        <v>Hard Cover</v>
      </c>
      <c r="I455">
        <f>VLOOKUP(C455,Products!$A$2:$H$16,5,FALSE)</f>
        <v>1927</v>
      </c>
      <c r="J455" s="29">
        <f>VLOOKUP(C455,Products!$A$2:$H$16,6,FALSE)</f>
        <v>159</v>
      </c>
      <c r="K455" s="32">
        <f>VLOOKUP(C455,Products!$A$2:$H$16,7,FALSE)</f>
        <v>0.3</v>
      </c>
      <c r="L455" s="29">
        <f>VLOOKUP(C455,Products!$A$2:$H$16,8,FALSE)</f>
        <v>206.7</v>
      </c>
      <c r="M455" s="41">
        <f t="shared" si="21"/>
        <v>10</v>
      </c>
      <c r="N455" s="43">
        <f t="shared" si="22"/>
        <v>2687.1</v>
      </c>
      <c r="O455" s="43">
        <f t="shared" si="23"/>
        <v>2067</v>
      </c>
    </row>
    <row r="456" spans="1:15" x14ac:dyDescent="0.25">
      <c r="A456" s="31">
        <v>41561</v>
      </c>
      <c r="B456" t="s">
        <v>39</v>
      </c>
      <c r="C456" s="30">
        <v>8</v>
      </c>
      <c r="D456" s="30" t="s">
        <v>34</v>
      </c>
      <c r="E456" s="30">
        <v>1</v>
      </c>
      <c r="F456" t="str">
        <f>VLOOKUP(C456,Products!$A$2:$H$16,2,FALSE)</f>
        <v>Glimpses of World History</v>
      </c>
      <c r="G456" t="str">
        <f>VLOOKUP(C456,Products!$A$2:$H$16,3,FALSE)</f>
        <v>Jawaharlal Nehru</v>
      </c>
      <c r="H456" t="str">
        <f>VLOOKUP(C456,Products!$A$2:$H$16,4,FALSE)</f>
        <v>Soft Cover</v>
      </c>
      <c r="I456">
        <f>VLOOKUP(C456,Products!$A$2:$H$16,5,FALSE)</f>
        <v>1934</v>
      </c>
      <c r="J456" s="29">
        <f>VLOOKUP(C456,Products!$A$2:$H$16,6,FALSE)</f>
        <v>650</v>
      </c>
      <c r="K456" s="32">
        <f>VLOOKUP(C456,Products!$A$2:$H$16,7,FALSE)</f>
        <v>0.2</v>
      </c>
      <c r="L456" s="29">
        <f>VLOOKUP(C456,Products!$A$2:$H$16,8,FALSE)</f>
        <v>780</v>
      </c>
      <c r="M456" s="41">
        <f t="shared" si="21"/>
        <v>10</v>
      </c>
      <c r="N456" s="43">
        <f t="shared" si="22"/>
        <v>780</v>
      </c>
      <c r="O456" s="43">
        <f t="shared" si="23"/>
        <v>650</v>
      </c>
    </row>
    <row r="457" spans="1:15" x14ac:dyDescent="0.25">
      <c r="A457" s="31">
        <v>41562</v>
      </c>
      <c r="B457" t="s">
        <v>33</v>
      </c>
      <c r="C457" s="30">
        <v>2</v>
      </c>
      <c r="D457" s="30" t="s">
        <v>38</v>
      </c>
      <c r="E457" s="30">
        <v>3</v>
      </c>
      <c r="F457" t="str">
        <f>VLOOKUP(C457,Products!$A$2:$H$16,2,FALSE)</f>
        <v>The Story of my Experiments with Truth</v>
      </c>
      <c r="G457" t="str">
        <f>VLOOKUP(C457,Products!$A$2:$H$16,3,FALSE)</f>
        <v>Mahatma Gandhi</v>
      </c>
      <c r="H457" t="str">
        <f>VLOOKUP(C457,Products!$A$2:$H$16,4,FALSE)</f>
        <v>Hard Cover</v>
      </c>
      <c r="I457">
        <f>VLOOKUP(C457,Products!$A$2:$H$16,5,FALSE)</f>
        <v>1927</v>
      </c>
      <c r="J457" s="29">
        <f>VLOOKUP(C457,Products!$A$2:$H$16,6,FALSE)</f>
        <v>159</v>
      </c>
      <c r="K457" s="32">
        <f>VLOOKUP(C457,Products!$A$2:$H$16,7,FALSE)</f>
        <v>0.3</v>
      </c>
      <c r="L457" s="29">
        <f>VLOOKUP(C457,Products!$A$2:$H$16,8,FALSE)</f>
        <v>206.7</v>
      </c>
      <c r="M457" s="41">
        <f t="shared" si="21"/>
        <v>10</v>
      </c>
      <c r="N457" s="43">
        <f t="shared" si="22"/>
        <v>620.09999999999991</v>
      </c>
      <c r="O457" s="43">
        <f t="shared" si="23"/>
        <v>477</v>
      </c>
    </row>
    <row r="458" spans="1:15" x14ac:dyDescent="0.25">
      <c r="A458" s="31">
        <v>41563</v>
      </c>
      <c r="B458" t="s">
        <v>36</v>
      </c>
      <c r="C458" s="30">
        <v>3</v>
      </c>
      <c r="D458" s="30" t="s">
        <v>38</v>
      </c>
      <c r="E458" s="30">
        <v>12</v>
      </c>
      <c r="F458" t="str">
        <f>VLOOKUP(C458,Products!$A$2:$H$16,2,FALSE)</f>
        <v>Glimpses of World History</v>
      </c>
      <c r="G458" t="str">
        <f>VLOOKUP(C458,Products!$A$2:$H$16,3,FALSE)</f>
        <v>Jawaharlal Nehru</v>
      </c>
      <c r="H458" t="str">
        <f>VLOOKUP(C458,Products!$A$2:$H$16,4,FALSE)</f>
        <v>Hard Cover</v>
      </c>
      <c r="I458">
        <f>VLOOKUP(C458,Products!$A$2:$H$16,5,FALSE)</f>
        <v>1934</v>
      </c>
      <c r="J458" s="29">
        <f>VLOOKUP(C458,Products!$A$2:$H$16,6,FALSE)</f>
        <v>750.45899999999995</v>
      </c>
      <c r="K458" s="32">
        <f>VLOOKUP(C458,Products!$A$2:$H$16,7,FALSE)</f>
        <v>0.2</v>
      </c>
      <c r="L458" s="29">
        <f>VLOOKUP(C458,Products!$A$2:$H$16,8,FALSE)</f>
        <v>900.55079999999998</v>
      </c>
      <c r="M458" s="41">
        <f t="shared" si="21"/>
        <v>10</v>
      </c>
      <c r="N458" s="43">
        <f t="shared" si="22"/>
        <v>10806.6096</v>
      </c>
      <c r="O458" s="43">
        <f t="shared" si="23"/>
        <v>9005.5079999999998</v>
      </c>
    </row>
    <row r="459" spans="1:15" x14ac:dyDescent="0.25">
      <c r="A459" s="31">
        <v>41563</v>
      </c>
      <c r="B459" t="s">
        <v>42</v>
      </c>
      <c r="C459" s="30">
        <v>12</v>
      </c>
      <c r="D459" s="30" t="s">
        <v>34</v>
      </c>
      <c r="E459" s="30">
        <v>11</v>
      </c>
      <c r="F459" t="str">
        <f>VLOOKUP(C459,Products!$A$2:$H$16,2,FALSE)</f>
        <v>The Story of my Experiments with Truth</v>
      </c>
      <c r="G459" t="str">
        <f>VLOOKUP(C459,Products!$A$2:$H$16,3,FALSE)</f>
        <v>Mahatma Gandhi</v>
      </c>
      <c r="H459" t="str">
        <f>VLOOKUP(C459,Products!$A$2:$H$16,4,FALSE)</f>
        <v>e-book</v>
      </c>
      <c r="I459">
        <f>VLOOKUP(C459,Products!$A$2:$H$16,5,FALSE)</f>
        <v>2004</v>
      </c>
      <c r="J459" s="29">
        <f>VLOOKUP(C459,Products!$A$2:$H$16,6,FALSE)</f>
        <v>50</v>
      </c>
      <c r="K459" s="32">
        <f>VLOOKUP(C459,Products!$A$2:$H$16,7,FALSE)</f>
        <v>0.3</v>
      </c>
      <c r="L459" s="29">
        <f>VLOOKUP(C459,Products!$A$2:$H$16,8,FALSE)</f>
        <v>65</v>
      </c>
      <c r="M459" s="41">
        <f t="shared" si="21"/>
        <v>10</v>
      </c>
      <c r="N459" s="43">
        <f t="shared" si="22"/>
        <v>715</v>
      </c>
      <c r="O459" s="43">
        <f t="shared" si="23"/>
        <v>550</v>
      </c>
    </row>
    <row r="460" spans="1:15" x14ac:dyDescent="0.25">
      <c r="A460" s="31">
        <v>41563</v>
      </c>
      <c r="B460" t="s">
        <v>36</v>
      </c>
      <c r="C460" s="30">
        <v>10</v>
      </c>
      <c r="D460" s="30" t="s">
        <v>34</v>
      </c>
      <c r="E460" s="30">
        <v>14</v>
      </c>
      <c r="F460" t="str">
        <f>VLOOKUP(C460,Products!$A$2:$H$16,2,FALSE)</f>
        <v>Wings of Fire</v>
      </c>
      <c r="G460" t="str">
        <f>VLOOKUP(C460,Products!$A$2:$H$16,3,FALSE)</f>
        <v>APJ Abdul Kalam,
Arun Tiwari</v>
      </c>
      <c r="H460" t="str">
        <f>VLOOKUP(C460,Products!$A$2:$H$16,4,FALSE)</f>
        <v>Soft Cover</v>
      </c>
      <c r="I460">
        <f>VLOOKUP(C460,Products!$A$2:$H$16,5,FALSE)</f>
        <v>1999</v>
      </c>
      <c r="J460" s="29">
        <f>VLOOKUP(C460,Products!$A$2:$H$16,6,FALSE)</f>
        <v>1200</v>
      </c>
      <c r="K460" s="32">
        <f>VLOOKUP(C460,Products!$A$2:$H$16,7,FALSE)</f>
        <v>0.1</v>
      </c>
      <c r="L460" s="29">
        <f>VLOOKUP(C460,Products!$A$2:$H$16,8,FALSE)</f>
        <v>1320</v>
      </c>
      <c r="M460" s="41">
        <f t="shared" si="21"/>
        <v>10</v>
      </c>
      <c r="N460" s="43">
        <f t="shared" si="22"/>
        <v>18480</v>
      </c>
      <c r="O460" s="43">
        <f t="shared" si="23"/>
        <v>16800</v>
      </c>
    </row>
    <row r="461" spans="1:15" x14ac:dyDescent="0.25">
      <c r="A461" s="31">
        <v>41564</v>
      </c>
      <c r="B461" t="s">
        <v>39</v>
      </c>
      <c r="C461" s="30">
        <v>6</v>
      </c>
      <c r="D461" s="30" t="s">
        <v>38</v>
      </c>
      <c r="E461" s="30">
        <v>8</v>
      </c>
      <c r="F461" t="str">
        <f>VLOOKUP(C461,Products!$A$2:$H$16,2,FALSE)</f>
        <v>The Discovery of India</v>
      </c>
      <c r="G461" t="str">
        <f>VLOOKUP(C461,Products!$A$2:$H$16,3,FALSE)</f>
        <v>Jawaharlal Nehru</v>
      </c>
      <c r="H461" t="str">
        <f>VLOOKUP(C461,Products!$A$2:$H$16,4,FALSE)</f>
        <v>Soft Cover</v>
      </c>
      <c r="I461">
        <f>VLOOKUP(C461,Products!$A$2:$H$16,5,FALSE)</f>
        <v>1946</v>
      </c>
      <c r="J461" s="29">
        <f>VLOOKUP(C461,Products!$A$2:$H$16,6,FALSE)</f>
        <v>499</v>
      </c>
      <c r="K461" s="32">
        <f>VLOOKUP(C461,Products!$A$2:$H$16,7,FALSE)</f>
        <v>0.3</v>
      </c>
      <c r="L461" s="29">
        <f>VLOOKUP(C461,Products!$A$2:$H$16,8,FALSE)</f>
        <v>648.70000000000005</v>
      </c>
      <c r="M461" s="41">
        <f t="shared" si="21"/>
        <v>10</v>
      </c>
      <c r="N461" s="43">
        <f t="shared" si="22"/>
        <v>5189.6000000000004</v>
      </c>
      <c r="O461" s="43">
        <f t="shared" si="23"/>
        <v>3992</v>
      </c>
    </row>
    <row r="462" spans="1:15" x14ac:dyDescent="0.25">
      <c r="A462" s="31">
        <v>41565</v>
      </c>
      <c r="B462" t="s">
        <v>37</v>
      </c>
      <c r="C462" s="30">
        <v>13</v>
      </c>
      <c r="D462" s="30" t="s">
        <v>34</v>
      </c>
      <c r="E462" s="30">
        <v>8</v>
      </c>
      <c r="F462" t="str">
        <f>VLOOKUP(C462,Products!$A$2:$H$16,2,FALSE)</f>
        <v>Glimpses of World History</v>
      </c>
      <c r="G462" t="str">
        <f>VLOOKUP(C462,Products!$A$2:$H$16,3,FALSE)</f>
        <v>Jawaharlal Nehru</v>
      </c>
      <c r="H462" t="str">
        <f>VLOOKUP(C462,Products!$A$2:$H$16,4,FALSE)</f>
        <v>e-book</v>
      </c>
      <c r="I462">
        <f>VLOOKUP(C462,Products!$A$2:$H$16,5,FALSE)</f>
        <v>2005</v>
      </c>
      <c r="J462" s="29">
        <f>VLOOKUP(C462,Products!$A$2:$H$16,6,FALSE)</f>
        <v>300</v>
      </c>
      <c r="K462" s="32">
        <f>VLOOKUP(C462,Products!$A$2:$H$16,7,FALSE)</f>
        <v>0.2</v>
      </c>
      <c r="L462" s="29">
        <f>VLOOKUP(C462,Products!$A$2:$H$16,8,FALSE)</f>
        <v>360</v>
      </c>
      <c r="M462" s="41">
        <f t="shared" si="21"/>
        <v>10</v>
      </c>
      <c r="N462" s="43">
        <f t="shared" si="22"/>
        <v>2880</v>
      </c>
      <c r="O462" s="43">
        <f t="shared" si="23"/>
        <v>2400</v>
      </c>
    </row>
    <row r="463" spans="1:15" x14ac:dyDescent="0.25">
      <c r="A463" s="31">
        <v>41566</v>
      </c>
      <c r="B463" t="s">
        <v>36</v>
      </c>
      <c r="C463" s="30">
        <v>4</v>
      </c>
      <c r="D463" s="30" t="s">
        <v>34</v>
      </c>
      <c r="E463" s="30">
        <v>2</v>
      </c>
      <c r="F463" t="str">
        <f>VLOOKUP(C463,Products!$A$2:$H$16,2,FALSE)</f>
        <v>A Guide to Health</v>
      </c>
      <c r="G463" t="str">
        <f>VLOOKUP(C463,Products!$A$2:$H$16,3,FALSE)</f>
        <v>Mahatma Gandhi</v>
      </c>
      <c r="H463" t="str">
        <f>VLOOKUP(C463,Products!$A$2:$H$16,4,FALSE)</f>
        <v>Hard Cover</v>
      </c>
      <c r="I463">
        <f>VLOOKUP(C463,Products!$A$2:$H$16,5,FALSE)</f>
        <v>1921</v>
      </c>
      <c r="J463" s="29">
        <f>VLOOKUP(C463,Products!$A$2:$H$16,6,FALSE)</f>
        <v>250</v>
      </c>
      <c r="K463" s="32">
        <f>VLOOKUP(C463,Products!$A$2:$H$16,7,FALSE)</f>
        <v>0.15</v>
      </c>
      <c r="L463" s="29">
        <f>VLOOKUP(C463,Products!$A$2:$H$16,8,FALSE)</f>
        <v>287.5</v>
      </c>
      <c r="M463" s="41">
        <f t="shared" si="21"/>
        <v>10</v>
      </c>
      <c r="N463" s="43">
        <f t="shared" si="22"/>
        <v>575</v>
      </c>
      <c r="O463" s="43">
        <f t="shared" si="23"/>
        <v>500</v>
      </c>
    </row>
    <row r="464" spans="1:15" x14ac:dyDescent="0.25">
      <c r="A464" s="31">
        <v>41566</v>
      </c>
      <c r="B464" t="s">
        <v>33</v>
      </c>
      <c r="C464" s="30">
        <v>1</v>
      </c>
      <c r="D464" s="30" t="s">
        <v>34</v>
      </c>
      <c r="E464" s="30">
        <v>13</v>
      </c>
      <c r="F464" t="str">
        <f>VLOOKUP(C464,Products!$A$2:$H$16,2,FALSE)</f>
        <v>The Discovery of India</v>
      </c>
      <c r="G464" t="str">
        <f>VLOOKUP(C464,Products!$A$2:$H$16,3,FALSE)</f>
        <v>Jawaharlal Nehru</v>
      </c>
      <c r="H464" t="str">
        <f>VLOOKUP(C464,Products!$A$2:$H$16,4,FALSE)</f>
        <v>Hard Cover</v>
      </c>
      <c r="I464">
        <f>VLOOKUP(C464,Products!$A$2:$H$16,5,FALSE)</f>
        <v>1946</v>
      </c>
      <c r="J464" s="29">
        <f>VLOOKUP(C464,Products!$A$2:$H$16,6,FALSE)</f>
        <v>599.95000000000005</v>
      </c>
      <c r="K464" s="32">
        <f>VLOOKUP(C464,Products!$A$2:$H$16,7,FALSE)</f>
        <v>0.3</v>
      </c>
      <c r="L464" s="29">
        <f>VLOOKUP(C464,Products!$A$2:$H$16,8,FALSE)</f>
        <v>779.93500000000006</v>
      </c>
      <c r="M464" s="41">
        <f t="shared" si="21"/>
        <v>10</v>
      </c>
      <c r="N464" s="43">
        <f t="shared" si="22"/>
        <v>10139.155000000001</v>
      </c>
      <c r="O464" s="43">
        <f t="shared" si="23"/>
        <v>7799.35</v>
      </c>
    </row>
    <row r="465" spans="1:15" x14ac:dyDescent="0.25">
      <c r="A465" s="31">
        <v>41567</v>
      </c>
      <c r="B465" t="s">
        <v>37</v>
      </c>
      <c r="C465" s="30">
        <v>1</v>
      </c>
      <c r="D465" s="30" t="s">
        <v>38</v>
      </c>
      <c r="E465" s="30">
        <v>9</v>
      </c>
      <c r="F465" t="str">
        <f>VLOOKUP(C465,Products!$A$2:$H$16,2,FALSE)</f>
        <v>The Discovery of India</v>
      </c>
      <c r="G465" t="str">
        <f>VLOOKUP(C465,Products!$A$2:$H$16,3,FALSE)</f>
        <v>Jawaharlal Nehru</v>
      </c>
      <c r="H465" t="str">
        <f>VLOOKUP(C465,Products!$A$2:$H$16,4,FALSE)</f>
        <v>Hard Cover</v>
      </c>
      <c r="I465">
        <f>VLOOKUP(C465,Products!$A$2:$H$16,5,FALSE)</f>
        <v>1946</v>
      </c>
      <c r="J465" s="29">
        <f>VLOOKUP(C465,Products!$A$2:$H$16,6,FALSE)</f>
        <v>599.95000000000005</v>
      </c>
      <c r="K465" s="32">
        <f>VLOOKUP(C465,Products!$A$2:$H$16,7,FALSE)</f>
        <v>0.3</v>
      </c>
      <c r="L465" s="29">
        <f>VLOOKUP(C465,Products!$A$2:$H$16,8,FALSE)</f>
        <v>779.93500000000006</v>
      </c>
      <c r="M465" s="41">
        <f t="shared" si="21"/>
        <v>10</v>
      </c>
      <c r="N465" s="43">
        <f t="shared" si="22"/>
        <v>7019.4150000000009</v>
      </c>
      <c r="O465" s="43">
        <f t="shared" si="23"/>
        <v>5399.55</v>
      </c>
    </row>
    <row r="466" spans="1:15" x14ac:dyDescent="0.25">
      <c r="A466" s="31">
        <v>41567</v>
      </c>
      <c r="B466" t="s">
        <v>41</v>
      </c>
      <c r="C466" s="30">
        <v>9</v>
      </c>
      <c r="D466" s="30" t="s">
        <v>38</v>
      </c>
      <c r="E466" s="30">
        <v>5</v>
      </c>
      <c r="F466" t="str">
        <f>VLOOKUP(C466,Products!$A$2:$H$16,2,FALSE)</f>
        <v>A Guide to Health</v>
      </c>
      <c r="G466" t="str">
        <f>VLOOKUP(C466,Products!$A$2:$H$16,3,FALSE)</f>
        <v>Mahatma Gandhi</v>
      </c>
      <c r="H466" t="str">
        <f>VLOOKUP(C466,Products!$A$2:$H$16,4,FALSE)</f>
        <v>Soft Cover</v>
      </c>
      <c r="I466">
        <f>VLOOKUP(C466,Products!$A$2:$H$16,5,FALSE)</f>
        <v>1921</v>
      </c>
      <c r="J466" s="29">
        <f>VLOOKUP(C466,Products!$A$2:$H$16,6,FALSE)</f>
        <v>220</v>
      </c>
      <c r="K466" s="32">
        <f>VLOOKUP(C466,Products!$A$2:$H$16,7,FALSE)</f>
        <v>0.15</v>
      </c>
      <c r="L466" s="29">
        <f>VLOOKUP(C466,Products!$A$2:$H$16,8,FALSE)</f>
        <v>253</v>
      </c>
      <c r="M466" s="41">
        <f t="shared" si="21"/>
        <v>10</v>
      </c>
      <c r="N466" s="43">
        <f t="shared" si="22"/>
        <v>1265</v>
      </c>
      <c r="O466" s="43">
        <f t="shared" si="23"/>
        <v>1100</v>
      </c>
    </row>
    <row r="467" spans="1:15" x14ac:dyDescent="0.25">
      <c r="A467" s="31">
        <v>41569</v>
      </c>
      <c r="B467" t="s">
        <v>39</v>
      </c>
      <c r="C467" s="30">
        <v>9</v>
      </c>
      <c r="D467" s="30" t="s">
        <v>34</v>
      </c>
      <c r="E467" s="30">
        <v>20</v>
      </c>
      <c r="F467" t="str">
        <f>VLOOKUP(C467,Products!$A$2:$H$16,2,FALSE)</f>
        <v>A Guide to Health</v>
      </c>
      <c r="G467" t="str">
        <f>VLOOKUP(C467,Products!$A$2:$H$16,3,FALSE)</f>
        <v>Mahatma Gandhi</v>
      </c>
      <c r="H467" t="str">
        <f>VLOOKUP(C467,Products!$A$2:$H$16,4,FALSE)</f>
        <v>Soft Cover</v>
      </c>
      <c r="I467">
        <f>VLOOKUP(C467,Products!$A$2:$H$16,5,FALSE)</f>
        <v>1921</v>
      </c>
      <c r="J467" s="29">
        <f>VLOOKUP(C467,Products!$A$2:$H$16,6,FALSE)</f>
        <v>220</v>
      </c>
      <c r="K467" s="32">
        <f>VLOOKUP(C467,Products!$A$2:$H$16,7,FALSE)</f>
        <v>0.15</v>
      </c>
      <c r="L467" s="29">
        <f>VLOOKUP(C467,Products!$A$2:$H$16,8,FALSE)</f>
        <v>253</v>
      </c>
      <c r="M467" s="41">
        <f t="shared" si="21"/>
        <v>10</v>
      </c>
      <c r="N467" s="43">
        <f t="shared" si="22"/>
        <v>5060</v>
      </c>
      <c r="O467" s="43">
        <f t="shared" si="23"/>
        <v>4400</v>
      </c>
    </row>
    <row r="468" spans="1:15" x14ac:dyDescent="0.25">
      <c r="A468" s="31">
        <v>41569</v>
      </c>
      <c r="B468" t="s">
        <v>41</v>
      </c>
      <c r="C468" s="30">
        <v>15</v>
      </c>
      <c r="D468" s="30" t="s">
        <v>38</v>
      </c>
      <c r="E468" s="30">
        <v>5</v>
      </c>
      <c r="F468" t="str">
        <f>VLOOKUP(C468,Products!$A$2:$H$16,2,FALSE)</f>
        <v>Wings of Fire</v>
      </c>
      <c r="G468" t="str">
        <f>VLOOKUP(C468,Products!$A$2:$H$16,3,FALSE)</f>
        <v>APJ Abdul Kalam,
Arun Tiwari</v>
      </c>
      <c r="H468" t="str">
        <f>VLOOKUP(C468,Products!$A$2:$H$16,4,FALSE)</f>
        <v>e-book</v>
      </c>
      <c r="I468">
        <f>VLOOKUP(C468,Products!$A$2:$H$16,5,FALSE)</f>
        <v>2005</v>
      </c>
      <c r="J468" s="29">
        <f>VLOOKUP(C468,Products!$A$2:$H$16,6,FALSE)</f>
        <v>500</v>
      </c>
      <c r="K468" s="32">
        <f>VLOOKUP(C468,Products!$A$2:$H$16,7,FALSE)</f>
        <v>0.1</v>
      </c>
      <c r="L468" s="29">
        <f>VLOOKUP(C468,Products!$A$2:$H$16,8,FALSE)</f>
        <v>550</v>
      </c>
      <c r="M468" s="41">
        <f t="shared" si="21"/>
        <v>10</v>
      </c>
      <c r="N468" s="43">
        <f t="shared" si="22"/>
        <v>2750</v>
      </c>
      <c r="O468" s="43">
        <f t="shared" si="23"/>
        <v>2500</v>
      </c>
    </row>
    <row r="469" spans="1:15" x14ac:dyDescent="0.25">
      <c r="A469" s="31">
        <v>41569</v>
      </c>
      <c r="B469" t="s">
        <v>33</v>
      </c>
      <c r="C469" s="30">
        <v>14</v>
      </c>
      <c r="D469" s="30" t="s">
        <v>38</v>
      </c>
      <c r="E469" s="30">
        <v>4</v>
      </c>
      <c r="F469" t="str">
        <f>VLOOKUP(C469,Products!$A$2:$H$16,2,FALSE)</f>
        <v>A Guide to Health</v>
      </c>
      <c r="G469" t="str">
        <f>VLOOKUP(C469,Products!$A$2:$H$16,3,FALSE)</f>
        <v>Mahatma Gandhi</v>
      </c>
      <c r="H469" t="str">
        <f>VLOOKUP(C469,Products!$A$2:$H$16,4,FALSE)</f>
        <v>e-book</v>
      </c>
      <c r="I469">
        <f>VLOOKUP(C469,Products!$A$2:$H$16,5,FALSE)</f>
        <v>2005</v>
      </c>
      <c r="J469" s="29">
        <f>VLOOKUP(C469,Products!$A$2:$H$16,6,FALSE)</f>
        <v>105</v>
      </c>
      <c r="K469" s="32">
        <f>VLOOKUP(C469,Products!$A$2:$H$16,7,FALSE)</f>
        <v>0.15</v>
      </c>
      <c r="L469" s="29">
        <f>VLOOKUP(C469,Products!$A$2:$H$16,8,FALSE)</f>
        <v>120.75</v>
      </c>
      <c r="M469" s="41">
        <f t="shared" si="21"/>
        <v>10</v>
      </c>
      <c r="N469" s="43">
        <f t="shared" si="22"/>
        <v>483</v>
      </c>
      <c r="O469" s="43">
        <f t="shared" si="23"/>
        <v>420</v>
      </c>
    </row>
    <row r="470" spans="1:15" x14ac:dyDescent="0.25">
      <c r="A470" s="31">
        <v>41572</v>
      </c>
      <c r="B470" t="s">
        <v>41</v>
      </c>
      <c r="C470" s="30">
        <v>6</v>
      </c>
      <c r="D470" s="30" t="s">
        <v>34</v>
      </c>
      <c r="E470" s="30">
        <v>15</v>
      </c>
      <c r="F470" t="str">
        <f>VLOOKUP(C470,Products!$A$2:$H$16,2,FALSE)</f>
        <v>The Discovery of India</v>
      </c>
      <c r="G470" t="str">
        <f>VLOOKUP(C470,Products!$A$2:$H$16,3,FALSE)</f>
        <v>Jawaharlal Nehru</v>
      </c>
      <c r="H470" t="str">
        <f>VLOOKUP(C470,Products!$A$2:$H$16,4,FALSE)</f>
        <v>Soft Cover</v>
      </c>
      <c r="I470">
        <f>VLOOKUP(C470,Products!$A$2:$H$16,5,FALSE)</f>
        <v>1946</v>
      </c>
      <c r="J470" s="29">
        <f>VLOOKUP(C470,Products!$A$2:$H$16,6,FALSE)</f>
        <v>499</v>
      </c>
      <c r="K470" s="32">
        <f>VLOOKUP(C470,Products!$A$2:$H$16,7,FALSE)</f>
        <v>0.3</v>
      </c>
      <c r="L470" s="29">
        <f>VLOOKUP(C470,Products!$A$2:$H$16,8,FALSE)</f>
        <v>648.70000000000005</v>
      </c>
      <c r="M470" s="41">
        <f t="shared" si="21"/>
        <v>10</v>
      </c>
      <c r="N470" s="43">
        <f t="shared" si="22"/>
        <v>9730.5</v>
      </c>
      <c r="O470" s="43">
        <f t="shared" si="23"/>
        <v>7485</v>
      </c>
    </row>
    <row r="471" spans="1:15" x14ac:dyDescent="0.25">
      <c r="A471" s="31">
        <v>41573</v>
      </c>
      <c r="B471" t="s">
        <v>36</v>
      </c>
      <c r="C471" s="30">
        <v>2</v>
      </c>
      <c r="D471" s="30" t="s">
        <v>38</v>
      </c>
      <c r="E471" s="30">
        <v>11</v>
      </c>
      <c r="F471" t="str">
        <f>VLOOKUP(C471,Products!$A$2:$H$16,2,FALSE)</f>
        <v>The Story of my Experiments with Truth</v>
      </c>
      <c r="G471" t="str">
        <f>VLOOKUP(C471,Products!$A$2:$H$16,3,FALSE)</f>
        <v>Mahatma Gandhi</v>
      </c>
      <c r="H471" t="str">
        <f>VLOOKUP(C471,Products!$A$2:$H$16,4,FALSE)</f>
        <v>Hard Cover</v>
      </c>
      <c r="I471">
        <f>VLOOKUP(C471,Products!$A$2:$H$16,5,FALSE)</f>
        <v>1927</v>
      </c>
      <c r="J471" s="29">
        <f>VLOOKUP(C471,Products!$A$2:$H$16,6,FALSE)</f>
        <v>159</v>
      </c>
      <c r="K471" s="32">
        <f>VLOOKUP(C471,Products!$A$2:$H$16,7,FALSE)</f>
        <v>0.3</v>
      </c>
      <c r="L471" s="29">
        <f>VLOOKUP(C471,Products!$A$2:$H$16,8,FALSE)</f>
        <v>206.7</v>
      </c>
      <c r="M471" s="41">
        <f t="shared" si="21"/>
        <v>10</v>
      </c>
      <c r="N471" s="43">
        <f t="shared" si="22"/>
        <v>2273.6999999999998</v>
      </c>
      <c r="O471" s="43">
        <f t="shared" si="23"/>
        <v>1749</v>
      </c>
    </row>
    <row r="472" spans="1:15" x14ac:dyDescent="0.25">
      <c r="A472" s="31">
        <v>41575</v>
      </c>
      <c r="B472" t="s">
        <v>37</v>
      </c>
      <c r="C472" s="30">
        <v>1</v>
      </c>
      <c r="D472" s="30" t="s">
        <v>38</v>
      </c>
      <c r="E472" s="30">
        <v>4</v>
      </c>
      <c r="F472" t="str">
        <f>VLOOKUP(C472,Products!$A$2:$H$16,2,FALSE)</f>
        <v>The Discovery of India</v>
      </c>
      <c r="G472" t="str">
        <f>VLOOKUP(C472,Products!$A$2:$H$16,3,FALSE)</f>
        <v>Jawaharlal Nehru</v>
      </c>
      <c r="H472" t="str">
        <f>VLOOKUP(C472,Products!$A$2:$H$16,4,FALSE)</f>
        <v>Hard Cover</v>
      </c>
      <c r="I472">
        <f>VLOOKUP(C472,Products!$A$2:$H$16,5,FALSE)</f>
        <v>1946</v>
      </c>
      <c r="J472" s="29">
        <f>VLOOKUP(C472,Products!$A$2:$H$16,6,FALSE)</f>
        <v>599.95000000000005</v>
      </c>
      <c r="K472" s="32">
        <f>VLOOKUP(C472,Products!$A$2:$H$16,7,FALSE)</f>
        <v>0.3</v>
      </c>
      <c r="L472" s="29">
        <f>VLOOKUP(C472,Products!$A$2:$H$16,8,FALSE)</f>
        <v>779.93500000000006</v>
      </c>
      <c r="M472" s="41">
        <f t="shared" si="21"/>
        <v>10</v>
      </c>
      <c r="N472" s="43">
        <f t="shared" si="22"/>
        <v>3119.7400000000002</v>
      </c>
      <c r="O472" s="43">
        <f t="shared" si="23"/>
        <v>2399.8000000000002</v>
      </c>
    </row>
    <row r="473" spans="1:15" x14ac:dyDescent="0.25">
      <c r="A473" s="31">
        <v>41579</v>
      </c>
      <c r="B473" t="s">
        <v>42</v>
      </c>
      <c r="C473" s="30">
        <v>7</v>
      </c>
      <c r="D473" s="30" t="s">
        <v>34</v>
      </c>
      <c r="E473" s="30">
        <v>14</v>
      </c>
      <c r="F473" t="str">
        <f>VLOOKUP(C473,Products!$A$2:$H$16,2,FALSE)</f>
        <v>The Story of my Experiments with Truth</v>
      </c>
      <c r="G473" t="str">
        <f>VLOOKUP(C473,Products!$A$2:$H$16,3,FALSE)</f>
        <v>Mahatma Gandhi</v>
      </c>
      <c r="H473" t="str">
        <f>VLOOKUP(C473,Products!$A$2:$H$16,4,FALSE)</f>
        <v>Soft Cover</v>
      </c>
      <c r="I473">
        <f>VLOOKUP(C473,Products!$A$2:$H$16,5,FALSE)</f>
        <v>1927</v>
      </c>
      <c r="J473" s="29">
        <f>VLOOKUP(C473,Products!$A$2:$H$16,6,FALSE)</f>
        <v>109</v>
      </c>
      <c r="K473" s="32">
        <f>VLOOKUP(C473,Products!$A$2:$H$16,7,FALSE)</f>
        <v>0.3</v>
      </c>
      <c r="L473" s="29">
        <f>VLOOKUP(C473,Products!$A$2:$H$16,8,FALSE)</f>
        <v>141.69999999999999</v>
      </c>
      <c r="M473" s="41">
        <f t="shared" si="21"/>
        <v>11</v>
      </c>
      <c r="N473" s="43">
        <f t="shared" si="22"/>
        <v>1983.7999999999997</v>
      </c>
      <c r="O473" s="43">
        <f t="shared" si="23"/>
        <v>1526</v>
      </c>
    </row>
    <row r="474" spans="1:15" x14ac:dyDescent="0.25">
      <c r="A474" s="31">
        <v>41580</v>
      </c>
      <c r="B474" t="s">
        <v>39</v>
      </c>
      <c r="C474" s="30">
        <v>14</v>
      </c>
      <c r="D474" s="30" t="s">
        <v>34</v>
      </c>
      <c r="E474" s="30">
        <v>18</v>
      </c>
      <c r="F474" t="str">
        <f>VLOOKUP(C474,Products!$A$2:$H$16,2,FALSE)</f>
        <v>A Guide to Health</v>
      </c>
      <c r="G474" t="str">
        <f>VLOOKUP(C474,Products!$A$2:$H$16,3,FALSE)</f>
        <v>Mahatma Gandhi</v>
      </c>
      <c r="H474" t="str">
        <f>VLOOKUP(C474,Products!$A$2:$H$16,4,FALSE)</f>
        <v>e-book</v>
      </c>
      <c r="I474">
        <f>VLOOKUP(C474,Products!$A$2:$H$16,5,FALSE)</f>
        <v>2005</v>
      </c>
      <c r="J474" s="29">
        <f>VLOOKUP(C474,Products!$A$2:$H$16,6,FALSE)</f>
        <v>105</v>
      </c>
      <c r="K474" s="32">
        <f>VLOOKUP(C474,Products!$A$2:$H$16,7,FALSE)</f>
        <v>0.15</v>
      </c>
      <c r="L474" s="29">
        <f>VLOOKUP(C474,Products!$A$2:$H$16,8,FALSE)</f>
        <v>120.75</v>
      </c>
      <c r="M474" s="41">
        <f t="shared" si="21"/>
        <v>11</v>
      </c>
      <c r="N474" s="43">
        <f t="shared" si="22"/>
        <v>2173.5</v>
      </c>
      <c r="O474" s="43">
        <f t="shared" si="23"/>
        <v>1890</v>
      </c>
    </row>
    <row r="475" spans="1:15" x14ac:dyDescent="0.25">
      <c r="A475" s="31">
        <v>41580</v>
      </c>
      <c r="B475" t="s">
        <v>36</v>
      </c>
      <c r="C475" s="30">
        <v>3</v>
      </c>
      <c r="D475" s="30" t="s">
        <v>38</v>
      </c>
      <c r="E475" s="30">
        <v>17</v>
      </c>
      <c r="F475" t="str">
        <f>VLOOKUP(C475,Products!$A$2:$H$16,2,FALSE)</f>
        <v>Glimpses of World History</v>
      </c>
      <c r="G475" t="str">
        <f>VLOOKUP(C475,Products!$A$2:$H$16,3,FALSE)</f>
        <v>Jawaharlal Nehru</v>
      </c>
      <c r="H475" t="str">
        <f>VLOOKUP(C475,Products!$A$2:$H$16,4,FALSE)</f>
        <v>Hard Cover</v>
      </c>
      <c r="I475">
        <f>VLOOKUP(C475,Products!$A$2:$H$16,5,FALSE)</f>
        <v>1934</v>
      </c>
      <c r="J475" s="29">
        <f>VLOOKUP(C475,Products!$A$2:$H$16,6,FALSE)</f>
        <v>750.45899999999995</v>
      </c>
      <c r="K475" s="32">
        <f>VLOOKUP(C475,Products!$A$2:$H$16,7,FALSE)</f>
        <v>0.2</v>
      </c>
      <c r="L475" s="29">
        <f>VLOOKUP(C475,Products!$A$2:$H$16,8,FALSE)</f>
        <v>900.55079999999998</v>
      </c>
      <c r="M475" s="41">
        <f t="shared" si="21"/>
        <v>11</v>
      </c>
      <c r="N475" s="43">
        <f t="shared" si="22"/>
        <v>15309.363600000001</v>
      </c>
      <c r="O475" s="43">
        <f t="shared" si="23"/>
        <v>12757.803</v>
      </c>
    </row>
    <row r="476" spans="1:15" x14ac:dyDescent="0.25">
      <c r="A476" s="31">
        <v>41580</v>
      </c>
      <c r="B476" t="s">
        <v>33</v>
      </c>
      <c r="C476" s="30">
        <v>3</v>
      </c>
      <c r="D476" s="30" t="s">
        <v>34</v>
      </c>
      <c r="E476" s="30">
        <v>6</v>
      </c>
      <c r="F476" t="str">
        <f>VLOOKUP(C476,Products!$A$2:$H$16,2,FALSE)</f>
        <v>Glimpses of World History</v>
      </c>
      <c r="G476" t="str">
        <f>VLOOKUP(C476,Products!$A$2:$H$16,3,FALSE)</f>
        <v>Jawaharlal Nehru</v>
      </c>
      <c r="H476" t="str">
        <f>VLOOKUP(C476,Products!$A$2:$H$16,4,FALSE)</f>
        <v>Hard Cover</v>
      </c>
      <c r="I476">
        <f>VLOOKUP(C476,Products!$A$2:$H$16,5,FALSE)</f>
        <v>1934</v>
      </c>
      <c r="J476" s="29">
        <f>VLOOKUP(C476,Products!$A$2:$H$16,6,FALSE)</f>
        <v>750.45899999999995</v>
      </c>
      <c r="K476" s="32">
        <f>VLOOKUP(C476,Products!$A$2:$H$16,7,FALSE)</f>
        <v>0.2</v>
      </c>
      <c r="L476" s="29">
        <f>VLOOKUP(C476,Products!$A$2:$H$16,8,FALSE)</f>
        <v>900.55079999999998</v>
      </c>
      <c r="M476" s="41">
        <f t="shared" si="21"/>
        <v>11</v>
      </c>
      <c r="N476" s="43">
        <f t="shared" si="22"/>
        <v>5403.3047999999999</v>
      </c>
      <c r="O476" s="43">
        <f t="shared" si="23"/>
        <v>4502.7539999999999</v>
      </c>
    </row>
    <row r="477" spans="1:15" x14ac:dyDescent="0.25">
      <c r="A477" s="31">
        <v>41581</v>
      </c>
      <c r="B477" t="s">
        <v>42</v>
      </c>
      <c r="C477" s="30">
        <v>12</v>
      </c>
      <c r="D477" s="30" t="s">
        <v>38</v>
      </c>
      <c r="E477" s="30">
        <v>9</v>
      </c>
      <c r="F477" t="str">
        <f>VLOOKUP(C477,Products!$A$2:$H$16,2,FALSE)</f>
        <v>The Story of my Experiments with Truth</v>
      </c>
      <c r="G477" t="str">
        <f>VLOOKUP(C477,Products!$A$2:$H$16,3,FALSE)</f>
        <v>Mahatma Gandhi</v>
      </c>
      <c r="H477" t="str">
        <f>VLOOKUP(C477,Products!$A$2:$H$16,4,FALSE)</f>
        <v>e-book</v>
      </c>
      <c r="I477">
        <f>VLOOKUP(C477,Products!$A$2:$H$16,5,FALSE)</f>
        <v>2004</v>
      </c>
      <c r="J477" s="29">
        <f>VLOOKUP(C477,Products!$A$2:$H$16,6,FALSE)</f>
        <v>50</v>
      </c>
      <c r="K477" s="32">
        <f>VLOOKUP(C477,Products!$A$2:$H$16,7,FALSE)</f>
        <v>0.3</v>
      </c>
      <c r="L477" s="29">
        <f>VLOOKUP(C477,Products!$A$2:$H$16,8,FALSE)</f>
        <v>65</v>
      </c>
      <c r="M477" s="41">
        <f t="shared" si="21"/>
        <v>11</v>
      </c>
      <c r="N477" s="43">
        <f t="shared" si="22"/>
        <v>585</v>
      </c>
      <c r="O477" s="43">
        <f t="shared" si="23"/>
        <v>450</v>
      </c>
    </row>
    <row r="478" spans="1:15" x14ac:dyDescent="0.25">
      <c r="A478" s="31">
        <v>41581</v>
      </c>
      <c r="B478" t="s">
        <v>36</v>
      </c>
      <c r="C478" s="30">
        <v>15</v>
      </c>
      <c r="D478" s="30" t="s">
        <v>38</v>
      </c>
      <c r="E478" s="30">
        <v>2</v>
      </c>
      <c r="F478" t="str">
        <f>VLOOKUP(C478,Products!$A$2:$H$16,2,FALSE)</f>
        <v>Wings of Fire</v>
      </c>
      <c r="G478" t="str">
        <f>VLOOKUP(C478,Products!$A$2:$H$16,3,FALSE)</f>
        <v>APJ Abdul Kalam,
Arun Tiwari</v>
      </c>
      <c r="H478" t="str">
        <f>VLOOKUP(C478,Products!$A$2:$H$16,4,FALSE)</f>
        <v>e-book</v>
      </c>
      <c r="I478">
        <f>VLOOKUP(C478,Products!$A$2:$H$16,5,FALSE)</f>
        <v>2005</v>
      </c>
      <c r="J478" s="29">
        <f>VLOOKUP(C478,Products!$A$2:$H$16,6,FALSE)</f>
        <v>500</v>
      </c>
      <c r="K478" s="32">
        <f>VLOOKUP(C478,Products!$A$2:$H$16,7,FALSE)</f>
        <v>0.1</v>
      </c>
      <c r="L478" s="29">
        <f>VLOOKUP(C478,Products!$A$2:$H$16,8,FALSE)</f>
        <v>550</v>
      </c>
      <c r="M478" s="41">
        <f t="shared" si="21"/>
        <v>11</v>
      </c>
      <c r="N478" s="43">
        <f t="shared" si="22"/>
        <v>1100</v>
      </c>
      <c r="O478" s="43">
        <f t="shared" si="23"/>
        <v>1000</v>
      </c>
    </row>
    <row r="479" spans="1:15" x14ac:dyDescent="0.25">
      <c r="A479" s="31">
        <v>41582</v>
      </c>
      <c r="B479" t="s">
        <v>40</v>
      </c>
      <c r="C479" s="30">
        <v>13</v>
      </c>
      <c r="D479" s="30" t="s">
        <v>38</v>
      </c>
      <c r="E479" s="30">
        <v>16</v>
      </c>
      <c r="F479" t="str">
        <f>VLOOKUP(C479,Products!$A$2:$H$16,2,FALSE)</f>
        <v>Glimpses of World History</v>
      </c>
      <c r="G479" t="str">
        <f>VLOOKUP(C479,Products!$A$2:$H$16,3,FALSE)</f>
        <v>Jawaharlal Nehru</v>
      </c>
      <c r="H479" t="str">
        <f>VLOOKUP(C479,Products!$A$2:$H$16,4,FALSE)</f>
        <v>e-book</v>
      </c>
      <c r="I479">
        <f>VLOOKUP(C479,Products!$A$2:$H$16,5,FALSE)</f>
        <v>2005</v>
      </c>
      <c r="J479" s="29">
        <f>VLOOKUP(C479,Products!$A$2:$H$16,6,FALSE)</f>
        <v>300</v>
      </c>
      <c r="K479" s="32">
        <f>VLOOKUP(C479,Products!$A$2:$H$16,7,FALSE)</f>
        <v>0.2</v>
      </c>
      <c r="L479" s="29">
        <f>VLOOKUP(C479,Products!$A$2:$H$16,8,FALSE)</f>
        <v>360</v>
      </c>
      <c r="M479" s="41">
        <f t="shared" si="21"/>
        <v>11</v>
      </c>
      <c r="N479" s="43">
        <f t="shared" si="22"/>
        <v>5760</v>
      </c>
      <c r="O479" s="43">
        <f t="shared" si="23"/>
        <v>4800</v>
      </c>
    </row>
    <row r="480" spans="1:15" x14ac:dyDescent="0.25">
      <c r="A480" s="31">
        <v>41582</v>
      </c>
      <c r="B480" t="s">
        <v>40</v>
      </c>
      <c r="C480" s="30">
        <v>3</v>
      </c>
      <c r="D480" s="30" t="s">
        <v>34</v>
      </c>
      <c r="E480" s="30">
        <v>18</v>
      </c>
      <c r="F480" t="str">
        <f>VLOOKUP(C480,Products!$A$2:$H$16,2,FALSE)</f>
        <v>Glimpses of World History</v>
      </c>
      <c r="G480" t="str">
        <f>VLOOKUP(C480,Products!$A$2:$H$16,3,FALSE)</f>
        <v>Jawaharlal Nehru</v>
      </c>
      <c r="H480" t="str">
        <f>VLOOKUP(C480,Products!$A$2:$H$16,4,FALSE)</f>
        <v>Hard Cover</v>
      </c>
      <c r="I480">
        <f>VLOOKUP(C480,Products!$A$2:$H$16,5,FALSE)</f>
        <v>1934</v>
      </c>
      <c r="J480" s="29">
        <f>VLOOKUP(C480,Products!$A$2:$H$16,6,FALSE)</f>
        <v>750.45899999999995</v>
      </c>
      <c r="K480" s="32">
        <f>VLOOKUP(C480,Products!$A$2:$H$16,7,FALSE)</f>
        <v>0.2</v>
      </c>
      <c r="L480" s="29">
        <f>VLOOKUP(C480,Products!$A$2:$H$16,8,FALSE)</f>
        <v>900.55079999999998</v>
      </c>
      <c r="M480" s="41">
        <f t="shared" si="21"/>
        <v>11</v>
      </c>
      <c r="N480" s="43">
        <f t="shared" si="22"/>
        <v>16209.9144</v>
      </c>
      <c r="O480" s="43">
        <f t="shared" si="23"/>
        <v>13508.261999999999</v>
      </c>
    </row>
    <row r="481" spans="1:15" x14ac:dyDescent="0.25">
      <c r="A481" s="31">
        <v>41583</v>
      </c>
      <c r="B481" t="s">
        <v>39</v>
      </c>
      <c r="C481" s="30">
        <v>3</v>
      </c>
      <c r="D481" s="30" t="s">
        <v>38</v>
      </c>
      <c r="E481" s="30">
        <v>8</v>
      </c>
      <c r="F481" t="str">
        <f>VLOOKUP(C481,Products!$A$2:$H$16,2,FALSE)</f>
        <v>Glimpses of World History</v>
      </c>
      <c r="G481" t="str">
        <f>VLOOKUP(C481,Products!$A$2:$H$16,3,FALSE)</f>
        <v>Jawaharlal Nehru</v>
      </c>
      <c r="H481" t="str">
        <f>VLOOKUP(C481,Products!$A$2:$H$16,4,FALSE)</f>
        <v>Hard Cover</v>
      </c>
      <c r="I481">
        <f>VLOOKUP(C481,Products!$A$2:$H$16,5,FALSE)</f>
        <v>1934</v>
      </c>
      <c r="J481" s="29">
        <f>VLOOKUP(C481,Products!$A$2:$H$16,6,FALSE)</f>
        <v>750.45899999999995</v>
      </c>
      <c r="K481" s="32">
        <f>VLOOKUP(C481,Products!$A$2:$H$16,7,FALSE)</f>
        <v>0.2</v>
      </c>
      <c r="L481" s="29">
        <f>VLOOKUP(C481,Products!$A$2:$H$16,8,FALSE)</f>
        <v>900.55079999999998</v>
      </c>
      <c r="M481" s="41">
        <f t="shared" si="21"/>
        <v>11</v>
      </c>
      <c r="N481" s="43">
        <f t="shared" si="22"/>
        <v>7204.4063999999998</v>
      </c>
      <c r="O481" s="43">
        <f t="shared" si="23"/>
        <v>6003.6719999999996</v>
      </c>
    </row>
    <row r="482" spans="1:15" x14ac:dyDescent="0.25">
      <c r="A482" s="31">
        <v>41583</v>
      </c>
      <c r="B482" t="s">
        <v>40</v>
      </c>
      <c r="C482" s="30">
        <v>6</v>
      </c>
      <c r="D482" s="30" t="s">
        <v>34</v>
      </c>
      <c r="E482" s="30">
        <v>4</v>
      </c>
      <c r="F482" t="str">
        <f>VLOOKUP(C482,Products!$A$2:$H$16,2,FALSE)</f>
        <v>The Discovery of India</v>
      </c>
      <c r="G482" t="str">
        <f>VLOOKUP(C482,Products!$A$2:$H$16,3,FALSE)</f>
        <v>Jawaharlal Nehru</v>
      </c>
      <c r="H482" t="str">
        <f>VLOOKUP(C482,Products!$A$2:$H$16,4,FALSE)</f>
        <v>Soft Cover</v>
      </c>
      <c r="I482">
        <f>VLOOKUP(C482,Products!$A$2:$H$16,5,FALSE)</f>
        <v>1946</v>
      </c>
      <c r="J482" s="29">
        <f>VLOOKUP(C482,Products!$A$2:$H$16,6,FALSE)</f>
        <v>499</v>
      </c>
      <c r="K482" s="32">
        <f>VLOOKUP(C482,Products!$A$2:$H$16,7,FALSE)</f>
        <v>0.3</v>
      </c>
      <c r="L482" s="29">
        <f>VLOOKUP(C482,Products!$A$2:$H$16,8,FALSE)</f>
        <v>648.70000000000005</v>
      </c>
      <c r="M482" s="41">
        <f t="shared" si="21"/>
        <v>11</v>
      </c>
      <c r="N482" s="43">
        <f t="shared" si="22"/>
        <v>2594.8000000000002</v>
      </c>
      <c r="O482" s="43">
        <f t="shared" si="23"/>
        <v>1996</v>
      </c>
    </row>
    <row r="483" spans="1:15" x14ac:dyDescent="0.25">
      <c r="A483" s="31">
        <v>41583</v>
      </c>
      <c r="B483" t="s">
        <v>35</v>
      </c>
      <c r="C483" s="30">
        <v>7</v>
      </c>
      <c r="D483" s="30" t="s">
        <v>38</v>
      </c>
      <c r="E483" s="30">
        <v>14</v>
      </c>
      <c r="F483" t="str">
        <f>VLOOKUP(C483,Products!$A$2:$H$16,2,FALSE)</f>
        <v>The Story of my Experiments with Truth</v>
      </c>
      <c r="G483" t="str">
        <f>VLOOKUP(C483,Products!$A$2:$H$16,3,FALSE)</f>
        <v>Mahatma Gandhi</v>
      </c>
      <c r="H483" t="str">
        <f>VLOOKUP(C483,Products!$A$2:$H$16,4,FALSE)</f>
        <v>Soft Cover</v>
      </c>
      <c r="I483">
        <f>VLOOKUP(C483,Products!$A$2:$H$16,5,FALSE)</f>
        <v>1927</v>
      </c>
      <c r="J483" s="29">
        <f>VLOOKUP(C483,Products!$A$2:$H$16,6,FALSE)</f>
        <v>109</v>
      </c>
      <c r="K483" s="32">
        <f>VLOOKUP(C483,Products!$A$2:$H$16,7,FALSE)</f>
        <v>0.3</v>
      </c>
      <c r="L483" s="29">
        <f>VLOOKUP(C483,Products!$A$2:$H$16,8,FALSE)</f>
        <v>141.69999999999999</v>
      </c>
      <c r="M483" s="41">
        <f t="shared" si="21"/>
        <v>11</v>
      </c>
      <c r="N483" s="43">
        <f t="shared" si="22"/>
        <v>1983.7999999999997</v>
      </c>
      <c r="O483" s="43">
        <f t="shared" si="23"/>
        <v>1526</v>
      </c>
    </row>
    <row r="484" spans="1:15" x14ac:dyDescent="0.25">
      <c r="A484" s="31">
        <v>41584</v>
      </c>
      <c r="B484" t="s">
        <v>35</v>
      </c>
      <c r="C484" s="30">
        <v>7</v>
      </c>
      <c r="D484" s="30" t="s">
        <v>34</v>
      </c>
      <c r="E484" s="30">
        <v>12</v>
      </c>
      <c r="F484" t="str">
        <f>VLOOKUP(C484,Products!$A$2:$H$16,2,FALSE)</f>
        <v>The Story of my Experiments with Truth</v>
      </c>
      <c r="G484" t="str">
        <f>VLOOKUP(C484,Products!$A$2:$H$16,3,FALSE)</f>
        <v>Mahatma Gandhi</v>
      </c>
      <c r="H484" t="str">
        <f>VLOOKUP(C484,Products!$A$2:$H$16,4,FALSE)</f>
        <v>Soft Cover</v>
      </c>
      <c r="I484">
        <f>VLOOKUP(C484,Products!$A$2:$H$16,5,FALSE)</f>
        <v>1927</v>
      </c>
      <c r="J484" s="29">
        <f>VLOOKUP(C484,Products!$A$2:$H$16,6,FALSE)</f>
        <v>109</v>
      </c>
      <c r="K484" s="32">
        <f>VLOOKUP(C484,Products!$A$2:$H$16,7,FALSE)</f>
        <v>0.3</v>
      </c>
      <c r="L484" s="29">
        <f>VLOOKUP(C484,Products!$A$2:$H$16,8,FALSE)</f>
        <v>141.69999999999999</v>
      </c>
      <c r="M484" s="41">
        <f t="shared" si="21"/>
        <v>11</v>
      </c>
      <c r="N484" s="43">
        <f t="shared" si="22"/>
        <v>1700.3999999999999</v>
      </c>
      <c r="O484" s="43">
        <f t="shared" si="23"/>
        <v>1308</v>
      </c>
    </row>
    <row r="485" spans="1:15" x14ac:dyDescent="0.25">
      <c r="A485" s="31">
        <v>41584</v>
      </c>
      <c r="B485" t="s">
        <v>42</v>
      </c>
      <c r="C485" s="30">
        <v>10</v>
      </c>
      <c r="D485" s="30" t="s">
        <v>34</v>
      </c>
      <c r="E485" s="30">
        <v>3</v>
      </c>
      <c r="F485" t="str">
        <f>VLOOKUP(C485,Products!$A$2:$H$16,2,FALSE)</f>
        <v>Wings of Fire</v>
      </c>
      <c r="G485" t="str">
        <f>VLOOKUP(C485,Products!$A$2:$H$16,3,FALSE)</f>
        <v>APJ Abdul Kalam,
Arun Tiwari</v>
      </c>
      <c r="H485" t="str">
        <f>VLOOKUP(C485,Products!$A$2:$H$16,4,FALSE)</f>
        <v>Soft Cover</v>
      </c>
      <c r="I485">
        <f>VLOOKUP(C485,Products!$A$2:$H$16,5,FALSE)</f>
        <v>1999</v>
      </c>
      <c r="J485" s="29">
        <f>VLOOKUP(C485,Products!$A$2:$H$16,6,FALSE)</f>
        <v>1200</v>
      </c>
      <c r="K485" s="32">
        <f>VLOOKUP(C485,Products!$A$2:$H$16,7,FALSE)</f>
        <v>0.1</v>
      </c>
      <c r="L485" s="29">
        <f>VLOOKUP(C485,Products!$A$2:$H$16,8,FALSE)</f>
        <v>1320</v>
      </c>
      <c r="M485" s="41">
        <f t="shared" si="21"/>
        <v>11</v>
      </c>
      <c r="N485" s="43">
        <f t="shared" si="22"/>
        <v>3960</v>
      </c>
      <c r="O485" s="43">
        <f t="shared" si="23"/>
        <v>3600</v>
      </c>
    </row>
    <row r="486" spans="1:15" x14ac:dyDescent="0.25">
      <c r="A486" s="31">
        <v>41584</v>
      </c>
      <c r="B486" t="s">
        <v>42</v>
      </c>
      <c r="C486" s="30">
        <v>6</v>
      </c>
      <c r="D486" s="30" t="s">
        <v>34</v>
      </c>
      <c r="E486" s="30">
        <v>15</v>
      </c>
      <c r="F486" t="str">
        <f>VLOOKUP(C486,Products!$A$2:$H$16,2,FALSE)</f>
        <v>The Discovery of India</v>
      </c>
      <c r="G486" t="str">
        <f>VLOOKUP(C486,Products!$A$2:$H$16,3,FALSE)</f>
        <v>Jawaharlal Nehru</v>
      </c>
      <c r="H486" t="str">
        <f>VLOOKUP(C486,Products!$A$2:$H$16,4,FALSE)</f>
        <v>Soft Cover</v>
      </c>
      <c r="I486">
        <f>VLOOKUP(C486,Products!$A$2:$H$16,5,FALSE)</f>
        <v>1946</v>
      </c>
      <c r="J486" s="29">
        <f>VLOOKUP(C486,Products!$A$2:$H$16,6,FALSE)</f>
        <v>499</v>
      </c>
      <c r="K486" s="32">
        <f>VLOOKUP(C486,Products!$A$2:$H$16,7,FALSE)</f>
        <v>0.3</v>
      </c>
      <c r="L486" s="29">
        <f>VLOOKUP(C486,Products!$A$2:$H$16,8,FALSE)</f>
        <v>648.70000000000005</v>
      </c>
      <c r="M486" s="41">
        <f t="shared" si="21"/>
        <v>11</v>
      </c>
      <c r="N486" s="43">
        <f t="shared" si="22"/>
        <v>9730.5</v>
      </c>
      <c r="O486" s="43">
        <f t="shared" si="23"/>
        <v>7485</v>
      </c>
    </row>
    <row r="487" spans="1:15" x14ac:dyDescent="0.25">
      <c r="A487" s="31">
        <v>41585</v>
      </c>
      <c r="B487" t="s">
        <v>40</v>
      </c>
      <c r="C487" s="30">
        <v>10</v>
      </c>
      <c r="D487" s="30" t="s">
        <v>34</v>
      </c>
      <c r="E487" s="30">
        <v>19</v>
      </c>
      <c r="F487" t="str">
        <f>VLOOKUP(C487,Products!$A$2:$H$16,2,FALSE)</f>
        <v>Wings of Fire</v>
      </c>
      <c r="G487" t="str">
        <f>VLOOKUP(C487,Products!$A$2:$H$16,3,FALSE)</f>
        <v>APJ Abdul Kalam,
Arun Tiwari</v>
      </c>
      <c r="H487" t="str">
        <f>VLOOKUP(C487,Products!$A$2:$H$16,4,FALSE)</f>
        <v>Soft Cover</v>
      </c>
      <c r="I487">
        <f>VLOOKUP(C487,Products!$A$2:$H$16,5,FALSE)</f>
        <v>1999</v>
      </c>
      <c r="J487" s="29">
        <f>VLOOKUP(C487,Products!$A$2:$H$16,6,FALSE)</f>
        <v>1200</v>
      </c>
      <c r="K487" s="32">
        <f>VLOOKUP(C487,Products!$A$2:$H$16,7,FALSE)</f>
        <v>0.1</v>
      </c>
      <c r="L487" s="29">
        <f>VLOOKUP(C487,Products!$A$2:$H$16,8,FALSE)</f>
        <v>1320</v>
      </c>
      <c r="M487" s="41">
        <f t="shared" si="21"/>
        <v>11</v>
      </c>
      <c r="N487" s="43">
        <f t="shared" si="22"/>
        <v>25080</v>
      </c>
      <c r="O487" s="43">
        <f t="shared" si="23"/>
        <v>22800</v>
      </c>
    </row>
    <row r="488" spans="1:15" x14ac:dyDescent="0.25">
      <c r="A488" s="31">
        <v>41586</v>
      </c>
      <c r="B488" t="s">
        <v>37</v>
      </c>
      <c r="C488" s="30">
        <v>14</v>
      </c>
      <c r="D488" s="30" t="s">
        <v>34</v>
      </c>
      <c r="E488" s="30">
        <v>15</v>
      </c>
      <c r="F488" t="str">
        <f>VLOOKUP(C488,Products!$A$2:$H$16,2,FALSE)</f>
        <v>A Guide to Health</v>
      </c>
      <c r="G488" t="str">
        <f>VLOOKUP(C488,Products!$A$2:$H$16,3,FALSE)</f>
        <v>Mahatma Gandhi</v>
      </c>
      <c r="H488" t="str">
        <f>VLOOKUP(C488,Products!$A$2:$H$16,4,FALSE)</f>
        <v>e-book</v>
      </c>
      <c r="I488">
        <f>VLOOKUP(C488,Products!$A$2:$H$16,5,FALSE)</f>
        <v>2005</v>
      </c>
      <c r="J488" s="29">
        <f>VLOOKUP(C488,Products!$A$2:$H$16,6,FALSE)</f>
        <v>105</v>
      </c>
      <c r="K488" s="32">
        <f>VLOOKUP(C488,Products!$A$2:$H$16,7,FALSE)</f>
        <v>0.15</v>
      </c>
      <c r="L488" s="29">
        <f>VLOOKUP(C488,Products!$A$2:$H$16,8,FALSE)</f>
        <v>120.75</v>
      </c>
      <c r="M488" s="41">
        <f t="shared" si="21"/>
        <v>11</v>
      </c>
      <c r="N488" s="43">
        <f t="shared" si="22"/>
        <v>1811.25</v>
      </c>
      <c r="O488" s="43">
        <f t="shared" si="23"/>
        <v>1575</v>
      </c>
    </row>
    <row r="489" spans="1:15" x14ac:dyDescent="0.25">
      <c r="A489" s="31">
        <v>41586</v>
      </c>
      <c r="B489" t="s">
        <v>41</v>
      </c>
      <c r="C489" s="30">
        <v>4</v>
      </c>
      <c r="D489" s="30" t="s">
        <v>34</v>
      </c>
      <c r="E489" s="30">
        <v>13</v>
      </c>
      <c r="F489" t="str">
        <f>VLOOKUP(C489,Products!$A$2:$H$16,2,FALSE)</f>
        <v>A Guide to Health</v>
      </c>
      <c r="G489" t="str">
        <f>VLOOKUP(C489,Products!$A$2:$H$16,3,FALSE)</f>
        <v>Mahatma Gandhi</v>
      </c>
      <c r="H489" t="str">
        <f>VLOOKUP(C489,Products!$A$2:$H$16,4,FALSE)</f>
        <v>Hard Cover</v>
      </c>
      <c r="I489">
        <f>VLOOKUP(C489,Products!$A$2:$H$16,5,FALSE)</f>
        <v>1921</v>
      </c>
      <c r="J489" s="29">
        <f>VLOOKUP(C489,Products!$A$2:$H$16,6,FALSE)</f>
        <v>250</v>
      </c>
      <c r="K489" s="32">
        <f>VLOOKUP(C489,Products!$A$2:$H$16,7,FALSE)</f>
        <v>0.15</v>
      </c>
      <c r="L489" s="29">
        <f>VLOOKUP(C489,Products!$A$2:$H$16,8,FALSE)</f>
        <v>287.5</v>
      </c>
      <c r="M489" s="41">
        <f t="shared" si="21"/>
        <v>11</v>
      </c>
      <c r="N489" s="43">
        <f t="shared" si="22"/>
        <v>3737.5</v>
      </c>
      <c r="O489" s="43">
        <f t="shared" si="23"/>
        <v>3250</v>
      </c>
    </row>
    <row r="490" spans="1:15" x14ac:dyDescent="0.25">
      <c r="A490" s="31">
        <v>41586</v>
      </c>
      <c r="B490" t="s">
        <v>35</v>
      </c>
      <c r="C490" s="30">
        <v>6</v>
      </c>
      <c r="D490" s="30" t="s">
        <v>34</v>
      </c>
      <c r="E490" s="30">
        <v>19</v>
      </c>
      <c r="F490" t="str">
        <f>VLOOKUP(C490,Products!$A$2:$H$16,2,FALSE)</f>
        <v>The Discovery of India</v>
      </c>
      <c r="G490" t="str">
        <f>VLOOKUP(C490,Products!$A$2:$H$16,3,FALSE)</f>
        <v>Jawaharlal Nehru</v>
      </c>
      <c r="H490" t="str">
        <f>VLOOKUP(C490,Products!$A$2:$H$16,4,FALSE)</f>
        <v>Soft Cover</v>
      </c>
      <c r="I490">
        <f>VLOOKUP(C490,Products!$A$2:$H$16,5,FALSE)</f>
        <v>1946</v>
      </c>
      <c r="J490" s="29">
        <f>VLOOKUP(C490,Products!$A$2:$H$16,6,FALSE)</f>
        <v>499</v>
      </c>
      <c r="K490" s="32">
        <f>VLOOKUP(C490,Products!$A$2:$H$16,7,FALSE)</f>
        <v>0.3</v>
      </c>
      <c r="L490" s="29">
        <f>VLOOKUP(C490,Products!$A$2:$H$16,8,FALSE)</f>
        <v>648.70000000000005</v>
      </c>
      <c r="M490" s="41">
        <f t="shared" si="21"/>
        <v>11</v>
      </c>
      <c r="N490" s="43">
        <f t="shared" si="22"/>
        <v>12325.300000000001</v>
      </c>
      <c r="O490" s="43">
        <f t="shared" si="23"/>
        <v>9481</v>
      </c>
    </row>
    <row r="491" spans="1:15" x14ac:dyDescent="0.25">
      <c r="A491" s="31">
        <v>41586</v>
      </c>
      <c r="B491" t="s">
        <v>41</v>
      </c>
      <c r="C491" s="30">
        <v>2</v>
      </c>
      <c r="D491" s="30" t="s">
        <v>34</v>
      </c>
      <c r="E491" s="30">
        <v>5</v>
      </c>
      <c r="F491" t="str">
        <f>VLOOKUP(C491,Products!$A$2:$H$16,2,FALSE)</f>
        <v>The Story of my Experiments with Truth</v>
      </c>
      <c r="G491" t="str">
        <f>VLOOKUP(C491,Products!$A$2:$H$16,3,FALSE)</f>
        <v>Mahatma Gandhi</v>
      </c>
      <c r="H491" t="str">
        <f>VLOOKUP(C491,Products!$A$2:$H$16,4,FALSE)</f>
        <v>Hard Cover</v>
      </c>
      <c r="I491">
        <f>VLOOKUP(C491,Products!$A$2:$H$16,5,FALSE)</f>
        <v>1927</v>
      </c>
      <c r="J491" s="29">
        <f>VLOOKUP(C491,Products!$A$2:$H$16,6,FALSE)</f>
        <v>159</v>
      </c>
      <c r="K491" s="32">
        <f>VLOOKUP(C491,Products!$A$2:$H$16,7,FALSE)</f>
        <v>0.3</v>
      </c>
      <c r="L491" s="29">
        <f>VLOOKUP(C491,Products!$A$2:$H$16,8,FALSE)</f>
        <v>206.7</v>
      </c>
      <c r="M491" s="41">
        <f t="shared" si="21"/>
        <v>11</v>
      </c>
      <c r="N491" s="43">
        <f t="shared" si="22"/>
        <v>1033.5</v>
      </c>
      <c r="O491" s="43">
        <f t="shared" si="23"/>
        <v>795</v>
      </c>
    </row>
    <row r="492" spans="1:15" x14ac:dyDescent="0.25">
      <c r="A492" s="31">
        <v>41587</v>
      </c>
      <c r="B492" t="s">
        <v>35</v>
      </c>
      <c r="C492" s="30">
        <v>11</v>
      </c>
      <c r="D492" s="30" t="s">
        <v>34</v>
      </c>
      <c r="E492" s="30">
        <v>8</v>
      </c>
      <c r="F492" t="str">
        <f>VLOOKUP(C492,Products!$A$2:$H$16,2,FALSE)</f>
        <v>The Discovery of India</v>
      </c>
      <c r="G492" t="str">
        <f>VLOOKUP(C492,Products!$A$2:$H$16,3,FALSE)</f>
        <v>Jawaharlal Nehru</v>
      </c>
      <c r="H492" t="str">
        <f>VLOOKUP(C492,Products!$A$2:$H$16,4,FALSE)</f>
        <v>e-book</v>
      </c>
      <c r="I492">
        <f>VLOOKUP(C492,Products!$A$2:$H$16,5,FALSE)</f>
        <v>2004</v>
      </c>
      <c r="J492" s="29">
        <f>VLOOKUP(C492,Products!$A$2:$H$16,6,FALSE)</f>
        <v>250</v>
      </c>
      <c r="K492" s="32">
        <f>VLOOKUP(C492,Products!$A$2:$H$16,7,FALSE)</f>
        <v>0.3</v>
      </c>
      <c r="L492" s="29">
        <f>VLOOKUP(C492,Products!$A$2:$H$16,8,FALSE)</f>
        <v>325</v>
      </c>
      <c r="M492" s="41">
        <f t="shared" si="21"/>
        <v>11</v>
      </c>
      <c r="N492" s="43">
        <f t="shared" si="22"/>
        <v>2600</v>
      </c>
      <c r="O492" s="43">
        <f t="shared" si="23"/>
        <v>2000</v>
      </c>
    </row>
    <row r="493" spans="1:15" x14ac:dyDescent="0.25">
      <c r="A493" s="31">
        <v>41589</v>
      </c>
      <c r="B493" t="s">
        <v>42</v>
      </c>
      <c r="C493" s="30">
        <v>9</v>
      </c>
      <c r="D493" s="30" t="s">
        <v>38</v>
      </c>
      <c r="E493" s="30">
        <v>11</v>
      </c>
      <c r="F493" t="str">
        <f>VLOOKUP(C493,Products!$A$2:$H$16,2,FALSE)</f>
        <v>A Guide to Health</v>
      </c>
      <c r="G493" t="str">
        <f>VLOOKUP(C493,Products!$A$2:$H$16,3,FALSE)</f>
        <v>Mahatma Gandhi</v>
      </c>
      <c r="H493" t="str">
        <f>VLOOKUP(C493,Products!$A$2:$H$16,4,FALSE)</f>
        <v>Soft Cover</v>
      </c>
      <c r="I493">
        <f>VLOOKUP(C493,Products!$A$2:$H$16,5,FALSE)</f>
        <v>1921</v>
      </c>
      <c r="J493" s="29">
        <f>VLOOKUP(C493,Products!$A$2:$H$16,6,FALSE)</f>
        <v>220</v>
      </c>
      <c r="K493" s="32">
        <f>VLOOKUP(C493,Products!$A$2:$H$16,7,FALSE)</f>
        <v>0.15</v>
      </c>
      <c r="L493" s="29">
        <f>VLOOKUP(C493,Products!$A$2:$H$16,8,FALSE)</f>
        <v>253</v>
      </c>
      <c r="M493" s="41">
        <f t="shared" si="21"/>
        <v>11</v>
      </c>
      <c r="N493" s="43">
        <f t="shared" si="22"/>
        <v>2783</v>
      </c>
      <c r="O493" s="43">
        <f t="shared" si="23"/>
        <v>2420</v>
      </c>
    </row>
    <row r="494" spans="1:15" x14ac:dyDescent="0.25">
      <c r="A494" s="31">
        <v>41589</v>
      </c>
      <c r="B494" t="s">
        <v>35</v>
      </c>
      <c r="C494" s="30">
        <v>9</v>
      </c>
      <c r="D494" s="30" t="s">
        <v>38</v>
      </c>
      <c r="E494" s="30">
        <v>2</v>
      </c>
      <c r="F494" t="str">
        <f>VLOOKUP(C494,Products!$A$2:$H$16,2,FALSE)</f>
        <v>A Guide to Health</v>
      </c>
      <c r="G494" t="str">
        <f>VLOOKUP(C494,Products!$A$2:$H$16,3,FALSE)</f>
        <v>Mahatma Gandhi</v>
      </c>
      <c r="H494" t="str">
        <f>VLOOKUP(C494,Products!$A$2:$H$16,4,FALSE)</f>
        <v>Soft Cover</v>
      </c>
      <c r="I494">
        <f>VLOOKUP(C494,Products!$A$2:$H$16,5,FALSE)</f>
        <v>1921</v>
      </c>
      <c r="J494" s="29">
        <f>VLOOKUP(C494,Products!$A$2:$H$16,6,FALSE)</f>
        <v>220</v>
      </c>
      <c r="K494" s="32">
        <f>VLOOKUP(C494,Products!$A$2:$H$16,7,FALSE)</f>
        <v>0.15</v>
      </c>
      <c r="L494" s="29">
        <f>VLOOKUP(C494,Products!$A$2:$H$16,8,FALSE)</f>
        <v>253</v>
      </c>
      <c r="M494" s="41">
        <f t="shared" si="21"/>
        <v>11</v>
      </c>
      <c r="N494" s="43">
        <f t="shared" si="22"/>
        <v>506</v>
      </c>
      <c r="O494" s="43">
        <f t="shared" si="23"/>
        <v>440</v>
      </c>
    </row>
    <row r="495" spans="1:15" x14ac:dyDescent="0.25">
      <c r="A495" s="31">
        <v>41589</v>
      </c>
      <c r="B495" t="s">
        <v>33</v>
      </c>
      <c r="C495" s="30">
        <v>8</v>
      </c>
      <c r="D495" s="30" t="s">
        <v>38</v>
      </c>
      <c r="E495" s="30">
        <v>11</v>
      </c>
      <c r="F495" t="str">
        <f>VLOOKUP(C495,Products!$A$2:$H$16,2,FALSE)</f>
        <v>Glimpses of World History</v>
      </c>
      <c r="G495" t="str">
        <f>VLOOKUP(C495,Products!$A$2:$H$16,3,FALSE)</f>
        <v>Jawaharlal Nehru</v>
      </c>
      <c r="H495" t="str">
        <f>VLOOKUP(C495,Products!$A$2:$H$16,4,FALSE)</f>
        <v>Soft Cover</v>
      </c>
      <c r="I495">
        <f>VLOOKUP(C495,Products!$A$2:$H$16,5,FALSE)</f>
        <v>1934</v>
      </c>
      <c r="J495" s="29">
        <f>VLOOKUP(C495,Products!$A$2:$H$16,6,FALSE)</f>
        <v>650</v>
      </c>
      <c r="K495" s="32">
        <f>VLOOKUP(C495,Products!$A$2:$H$16,7,FALSE)</f>
        <v>0.2</v>
      </c>
      <c r="L495" s="29">
        <f>VLOOKUP(C495,Products!$A$2:$H$16,8,FALSE)</f>
        <v>780</v>
      </c>
      <c r="M495" s="41">
        <f t="shared" si="21"/>
        <v>11</v>
      </c>
      <c r="N495" s="43">
        <f t="shared" si="22"/>
        <v>8580</v>
      </c>
      <c r="O495" s="43">
        <f t="shared" si="23"/>
        <v>7150</v>
      </c>
    </row>
    <row r="496" spans="1:15" x14ac:dyDescent="0.25">
      <c r="A496" s="31">
        <v>41589</v>
      </c>
      <c r="B496" t="s">
        <v>36</v>
      </c>
      <c r="C496" s="30">
        <v>14</v>
      </c>
      <c r="D496" s="30" t="s">
        <v>38</v>
      </c>
      <c r="E496" s="30">
        <v>14</v>
      </c>
      <c r="F496" t="str">
        <f>VLOOKUP(C496,Products!$A$2:$H$16,2,FALSE)</f>
        <v>A Guide to Health</v>
      </c>
      <c r="G496" t="str">
        <f>VLOOKUP(C496,Products!$A$2:$H$16,3,FALSE)</f>
        <v>Mahatma Gandhi</v>
      </c>
      <c r="H496" t="str">
        <f>VLOOKUP(C496,Products!$A$2:$H$16,4,FALSE)</f>
        <v>e-book</v>
      </c>
      <c r="I496">
        <f>VLOOKUP(C496,Products!$A$2:$H$16,5,FALSE)</f>
        <v>2005</v>
      </c>
      <c r="J496" s="29">
        <f>VLOOKUP(C496,Products!$A$2:$H$16,6,FALSE)</f>
        <v>105</v>
      </c>
      <c r="K496" s="32">
        <f>VLOOKUP(C496,Products!$A$2:$H$16,7,FALSE)</f>
        <v>0.15</v>
      </c>
      <c r="L496" s="29">
        <f>VLOOKUP(C496,Products!$A$2:$H$16,8,FALSE)</f>
        <v>120.75</v>
      </c>
      <c r="M496" s="41">
        <f t="shared" si="21"/>
        <v>11</v>
      </c>
      <c r="N496" s="43">
        <f t="shared" si="22"/>
        <v>1690.5</v>
      </c>
      <c r="O496" s="43">
        <f t="shared" si="23"/>
        <v>1470</v>
      </c>
    </row>
    <row r="497" spans="1:15" x14ac:dyDescent="0.25">
      <c r="A497" s="31">
        <v>41590</v>
      </c>
      <c r="B497" t="s">
        <v>35</v>
      </c>
      <c r="C497" s="30">
        <v>11</v>
      </c>
      <c r="D497" s="30" t="s">
        <v>38</v>
      </c>
      <c r="E497" s="30">
        <v>5</v>
      </c>
      <c r="F497" t="str">
        <f>VLOOKUP(C497,Products!$A$2:$H$16,2,FALSE)</f>
        <v>The Discovery of India</v>
      </c>
      <c r="G497" t="str">
        <f>VLOOKUP(C497,Products!$A$2:$H$16,3,FALSE)</f>
        <v>Jawaharlal Nehru</v>
      </c>
      <c r="H497" t="str">
        <f>VLOOKUP(C497,Products!$A$2:$H$16,4,FALSE)</f>
        <v>e-book</v>
      </c>
      <c r="I497">
        <f>VLOOKUP(C497,Products!$A$2:$H$16,5,FALSE)</f>
        <v>2004</v>
      </c>
      <c r="J497" s="29">
        <f>VLOOKUP(C497,Products!$A$2:$H$16,6,FALSE)</f>
        <v>250</v>
      </c>
      <c r="K497" s="32">
        <f>VLOOKUP(C497,Products!$A$2:$H$16,7,FALSE)</f>
        <v>0.3</v>
      </c>
      <c r="L497" s="29">
        <f>VLOOKUP(C497,Products!$A$2:$H$16,8,FALSE)</f>
        <v>325</v>
      </c>
      <c r="M497" s="41">
        <f t="shared" si="21"/>
        <v>11</v>
      </c>
      <c r="N497" s="43">
        <f t="shared" si="22"/>
        <v>1625</v>
      </c>
      <c r="O497" s="43">
        <f t="shared" si="23"/>
        <v>1250</v>
      </c>
    </row>
    <row r="498" spans="1:15" x14ac:dyDescent="0.25">
      <c r="A498" s="31">
        <v>41590</v>
      </c>
      <c r="B498" t="s">
        <v>41</v>
      </c>
      <c r="C498" s="30">
        <v>3</v>
      </c>
      <c r="D498" s="30" t="s">
        <v>38</v>
      </c>
      <c r="E498" s="30">
        <v>4</v>
      </c>
      <c r="F498" t="str">
        <f>VLOOKUP(C498,Products!$A$2:$H$16,2,FALSE)</f>
        <v>Glimpses of World History</v>
      </c>
      <c r="G498" t="str">
        <f>VLOOKUP(C498,Products!$A$2:$H$16,3,FALSE)</f>
        <v>Jawaharlal Nehru</v>
      </c>
      <c r="H498" t="str">
        <f>VLOOKUP(C498,Products!$A$2:$H$16,4,FALSE)</f>
        <v>Hard Cover</v>
      </c>
      <c r="I498">
        <f>VLOOKUP(C498,Products!$A$2:$H$16,5,FALSE)</f>
        <v>1934</v>
      </c>
      <c r="J498" s="29">
        <f>VLOOKUP(C498,Products!$A$2:$H$16,6,FALSE)</f>
        <v>750.45899999999995</v>
      </c>
      <c r="K498" s="32">
        <f>VLOOKUP(C498,Products!$A$2:$H$16,7,FALSE)</f>
        <v>0.2</v>
      </c>
      <c r="L498" s="29">
        <f>VLOOKUP(C498,Products!$A$2:$H$16,8,FALSE)</f>
        <v>900.55079999999998</v>
      </c>
      <c r="M498" s="41">
        <f t="shared" si="21"/>
        <v>11</v>
      </c>
      <c r="N498" s="43">
        <f t="shared" si="22"/>
        <v>3602.2031999999999</v>
      </c>
      <c r="O498" s="43">
        <f t="shared" si="23"/>
        <v>3001.8359999999998</v>
      </c>
    </row>
    <row r="499" spans="1:15" x14ac:dyDescent="0.25">
      <c r="A499" s="31">
        <v>41590</v>
      </c>
      <c r="B499" t="s">
        <v>40</v>
      </c>
      <c r="C499" s="30">
        <v>7</v>
      </c>
      <c r="D499" s="30" t="s">
        <v>38</v>
      </c>
      <c r="E499" s="30">
        <v>3</v>
      </c>
      <c r="F499" t="str">
        <f>VLOOKUP(C499,Products!$A$2:$H$16,2,FALSE)</f>
        <v>The Story of my Experiments with Truth</v>
      </c>
      <c r="G499" t="str">
        <f>VLOOKUP(C499,Products!$A$2:$H$16,3,FALSE)</f>
        <v>Mahatma Gandhi</v>
      </c>
      <c r="H499" t="str">
        <f>VLOOKUP(C499,Products!$A$2:$H$16,4,FALSE)</f>
        <v>Soft Cover</v>
      </c>
      <c r="I499">
        <f>VLOOKUP(C499,Products!$A$2:$H$16,5,FALSE)</f>
        <v>1927</v>
      </c>
      <c r="J499" s="29">
        <f>VLOOKUP(C499,Products!$A$2:$H$16,6,FALSE)</f>
        <v>109</v>
      </c>
      <c r="K499" s="32">
        <f>VLOOKUP(C499,Products!$A$2:$H$16,7,FALSE)</f>
        <v>0.3</v>
      </c>
      <c r="L499" s="29">
        <f>VLOOKUP(C499,Products!$A$2:$H$16,8,FALSE)</f>
        <v>141.69999999999999</v>
      </c>
      <c r="M499" s="41">
        <f t="shared" si="21"/>
        <v>11</v>
      </c>
      <c r="N499" s="43">
        <f t="shared" si="22"/>
        <v>425.09999999999997</v>
      </c>
      <c r="O499" s="43">
        <f t="shared" si="23"/>
        <v>327</v>
      </c>
    </row>
    <row r="500" spans="1:15" x14ac:dyDescent="0.25">
      <c r="A500" s="31">
        <v>41591</v>
      </c>
      <c r="B500" t="s">
        <v>37</v>
      </c>
      <c r="C500" s="30">
        <v>7</v>
      </c>
      <c r="D500" s="30" t="s">
        <v>38</v>
      </c>
      <c r="E500" s="30">
        <v>19</v>
      </c>
      <c r="F500" t="str">
        <f>VLOOKUP(C500,Products!$A$2:$H$16,2,FALSE)</f>
        <v>The Story of my Experiments with Truth</v>
      </c>
      <c r="G500" t="str">
        <f>VLOOKUP(C500,Products!$A$2:$H$16,3,FALSE)</f>
        <v>Mahatma Gandhi</v>
      </c>
      <c r="H500" t="str">
        <f>VLOOKUP(C500,Products!$A$2:$H$16,4,FALSE)</f>
        <v>Soft Cover</v>
      </c>
      <c r="I500">
        <f>VLOOKUP(C500,Products!$A$2:$H$16,5,FALSE)</f>
        <v>1927</v>
      </c>
      <c r="J500" s="29">
        <f>VLOOKUP(C500,Products!$A$2:$H$16,6,FALSE)</f>
        <v>109</v>
      </c>
      <c r="K500" s="32">
        <f>VLOOKUP(C500,Products!$A$2:$H$16,7,FALSE)</f>
        <v>0.3</v>
      </c>
      <c r="L500" s="29">
        <f>VLOOKUP(C500,Products!$A$2:$H$16,8,FALSE)</f>
        <v>141.69999999999999</v>
      </c>
      <c r="M500" s="41">
        <f t="shared" si="21"/>
        <v>11</v>
      </c>
      <c r="N500" s="43">
        <f t="shared" si="22"/>
        <v>2692.2999999999997</v>
      </c>
      <c r="O500" s="43">
        <f t="shared" si="23"/>
        <v>2071</v>
      </c>
    </row>
    <row r="501" spans="1:15" x14ac:dyDescent="0.25">
      <c r="A501" s="31">
        <v>41591</v>
      </c>
      <c r="B501" t="s">
        <v>40</v>
      </c>
      <c r="C501" s="30">
        <v>3</v>
      </c>
      <c r="D501" s="30" t="s">
        <v>34</v>
      </c>
      <c r="E501" s="30">
        <v>5</v>
      </c>
      <c r="F501" t="str">
        <f>VLOOKUP(C501,Products!$A$2:$H$16,2,FALSE)</f>
        <v>Glimpses of World History</v>
      </c>
      <c r="G501" t="str">
        <f>VLOOKUP(C501,Products!$A$2:$H$16,3,FALSE)</f>
        <v>Jawaharlal Nehru</v>
      </c>
      <c r="H501" t="str">
        <f>VLOOKUP(C501,Products!$A$2:$H$16,4,FALSE)</f>
        <v>Hard Cover</v>
      </c>
      <c r="I501">
        <f>VLOOKUP(C501,Products!$A$2:$H$16,5,FALSE)</f>
        <v>1934</v>
      </c>
      <c r="J501" s="29">
        <f>VLOOKUP(C501,Products!$A$2:$H$16,6,FALSE)</f>
        <v>750.45899999999995</v>
      </c>
      <c r="K501" s="32">
        <f>VLOOKUP(C501,Products!$A$2:$H$16,7,FALSE)</f>
        <v>0.2</v>
      </c>
      <c r="L501" s="29">
        <f>VLOOKUP(C501,Products!$A$2:$H$16,8,FALSE)</f>
        <v>900.55079999999998</v>
      </c>
      <c r="M501" s="41">
        <f t="shared" si="21"/>
        <v>11</v>
      </c>
      <c r="N501" s="43">
        <f t="shared" si="22"/>
        <v>4502.7539999999999</v>
      </c>
      <c r="O501" s="43">
        <f t="shared" si="23"/>
        <v>3752.2949999999996</v>
      </c>
    </row>
    <row r="502" spans="1:15" x14ac:dyDescent="0.25">
      <c r="A502" s="31">
        <v>41593</v>
      </c>
      <c r="B502" t="s">
        <v>40</v>
      </c>
      <c r="C502" s="30">
        <v>6</v>
      </c>
      <c r="D502" s="30" t="s">
        <v>34</v>
      </c>
      <c r="E502" s="30">
        <v>19</v>
      </c>
      <c r="F502" t="str">
        <f>VLOOKUP(C502,Products!$A$2:$H$16,2,FALSE)</f>
        <v>The Discovery of India</v>
      </c>
      <c r="G502" t="str">
        <f>VLOOKUP(C502,Products!$A$2:$H$16,3,FALSE)</f>
        <v>Jawaharlal Nehru</v>
      </c>
      <c r="H502" t="str">
        <f>VLOOKUP(C502,Products!$A$2:$H$16,4,FALSE)</f>
        <v>Soft Cover</v>
      </c>
      <c r="I502">
        <f>VLOOKUP(C502,Products!$A$2:$H$16,5,FALSE)</f>
        <v>1946</v>
      </c>
      <c r="J502" s="29">
        <f>VLOOKUP(C502,Products!$A$2:$H$16,6,FALSE)</f>
        <v>499</v>
      </c>
      <c r="K502" s="32">
        <f>VLOOKUP(C502,Products!$A$2:$H$16,7,FALSE)</f>
        <v>0.3</v>
      </c>
      <c r="L502" s="29">
        <f>VLOOKUP(C502,Products!$A$2:$H$16,8,FALSE)</f>
        <v>648.70000000000005</v>
      </c>
      <c r="M502" s="41">
        <f t="shared" si="21"/>
        <v>11</v>
      </c>
      <c r="N502" s="43">
        <f t="shared" si="22"/>
        <v>12325.300000000001</v>
      </c>
      <c r="O502" s="43">
        <f t="shared" si="23"/>
        <v>9481</v>
      </c>
    </row>
    <row r="503" spans="1:15" x14ac:dyDescent="0.25">
      <c r="A503" s="31">
        <v>41594</v>
      </c>
      <c r="B503" t="s">
        <v>35</v>
      </c>
      <c r="C503" s="30">
        <v>6</v>
      </c>
      <c r="D503" s="30" t="s">
        <v>34</v>
      </c>
      <c r="E503" s="30">
        <v>16</v>
      </c>
      <c r="F503" t="str">
        <f>VLOOKUP(C503,Products!$A$2:$H$16,2,FALSE)</f>
        <v>The Discovery of India</v>
      </c>
      <c r="G503" t="str">
        <f>VLOOKUP(C503,Products!$A$2:$H$16,3,FALSE)</f>
        <v>Jawaharlal Nehru</v>
      </c>
      <c r="H503" t="str">
        <f>VLOOKUP(C503,Products!$A$2:$H$16,4,FALSE)</f>
        <v>Soft Cover</v>
      </c>
      <c r="I503">
        <f>VLOOKUP(C503,Products!$A$2:$H$16,5,FALSE)</f>
        <v>1946</v>
      </c>
      <c r="J503" s="29">
        <f>VLOOKUP(C503,Products!$A$2:$H$16,6,FALSE)</f>
        <v>499</v>
      </c>
      <c r="K503" s="32">
        <f>VLOOKUP(C503,Products!$A$2:$H$16,7,FALSE)</f>
        <v>0.3</v>
      </c>
      <c r="L503" s="29">
        <f>VLOOKUP(C503,Products!$A$2:$H$16,8,FALSE)</f>
        <v>648.70000000000005</v>
      </c>
      <c r="M503" s="41">
        <f t="shared" si="21"/>
        <v>11</v>
      </c>
      <c r="N503" s="43">
        <f t="shared" si="22"/>
        <v>10379.200000000001</v>
      </c>
      <c r="O503" s="43">
        <f t="shared" si="23"/>
        <v>7984</v>
      </c>
    </row>
    <row r="504" spans="1:15" x14ac:dyDescent="0.25">
      <c r="A504" s="31">
        <v>41594</v>
      </c>
      <c r="B504" t="s">
        <v>33</v>
      </c>
      <c r="C504" s="30">
        <v>12</v>
      </c>
      <c r="D504" s="30" t="s">
        <v>38</v>
      </c>
      <c r="E504" s="30">
        <v>11</v>
      </c>
      <c r="F504" t="str">
        <f>VLOOKUP(C504,Products!$A$2:$H$16,2,FALSE)</f>
        <v>The Story of my Experiments with Truth</v>
      </c>
      <c r="G504" t="str">
        <f>VLOOKUP(C504,Products!$A$2:$H$16,3,FALSE)</f>
        <v>Mahatma Gandhi</v>
      </c>
      <c r="H504" t="str">
        <f>VLOOKUP(C504,Products!$A$2:$H$16,4,FALSE)</f>
        <v>e-book</v>
      </c>
      <c r="I504">
        <f>VLOOKUP(C504,Products!$A$2:$H$16,5,FALSE)</f>
        <v>2004</v>
      </c>
      <c r="J504" s="29">
        <f>VLOOKUP(C504,Products!$A$2:$H$16,6,FALSE)</f>
        <v>50</v>
      </c>
      <c r="K504" s="32">
        <f>VLOOKUP(C504,Products!$A$2:$H$16,7,FALSE)</f>
        <v>0.3</v>
      </c>
      <c r="L504" s="29">
        <f>VLOOKUP(C504,Products!$A$2:$H$16,8,FALSE)</f>
        <v>65</v>
      </c>
      <c r="M504" s="41">
        <f t="shared" si="21"/>
        <v>11</v>
      </c>
      <c r="N504" s="43">
        <f t="shared" si="22"/>
        <v>715</v>
      </c>
      <c r="O504" s="43">
        <f t="shared" si="23"/>
        <v>550</v>
      </c>
    </row>
    <row r="505" spans="1:15" x14ac:dyDescent="0.25">
      <c r="A505" s="31">
        <v>41596</v>
      </c>
      <c r="B505" t="s">
        <v>39</v>
      </c>
      <c r="C505" s="30">
        <v>7</v>
      </c>
      <c r="D505" s="30" t="s">
        <v>38</v>
      </c>
      <c r="E505" s="30">
        <v>3</v>
      </c>
      <c r="F505" t="str">
        <f>VLOOKUP(C505,Products!$A$2:$H$16,2,FALSE)</f>
        <v>The Story of my Experiments with Truth</v>
      </c>
      <c r="G505" t="str">
        <f>VLOOKUP(C505,Products!$A$2:$H$16,3,FALSE)</f>
        <v>Mahatma Gandhi</v>
      </c>
      <c r="H505" t="str">
        <f>VLOOKUP(C505,Products!$A$2:$H$16,4,FALSE)</f>
        <v>Soft Cover</v>
      </c>
      <c r="I505">
        <f>VLOOKUP(C505,Products!$A$2:$H$16,5,FALSE)</f>
        <v>1927</v>
      </c>
      <c r="J505" s="29">
        <f>VLOOKUP(C505,Products!$A$2:$H$16,6,FALSE)</f>
        <v>109</v>
      </c>
      <c r="K505" s="32">
        <f>VLOOKUP(C505,Products!$A$2:$H$16,7,FALSE)</f>
        <v>0.3</v>
      </c>
      <c r="L505" s="29">
        <f>VLOOKUP(C505,Products!$A$2:$H$16,8,FALSE)</f>
        <v>141.69999999999999</v>
      </c>
      <c r="M505" s="41">
        <f t="shared" si="21"/>
        <v>11</v>
      </c>
      <c r="N505" s="43">
        <f t="shared" si="22"/>
        <v>425.09999999999997</v>
      </c>
      <c r="O505" s="43">
        <f t="shared" si="23"/>
        <v>327</v>
      </c>
    </row>
    <row r="506" spans="1:15" x14ac:dyDescent="0.25">
      <c r="A506" s="31">
        <v>41596</v>
      </c>
      <c r="B506" t="s">
        <v>37</v>
      </c>
      <c r="C506" s="30">
        <v>10</v>
      </c>
      <c r="D506" s="30" t="s">
        <v>38</v>
      </c>
      <c r="E506" s="30">
        <v>4</v>
      </c>
      <c r="F506" t="str">
        <f>VLOOKUP(C506,Products!$A$2:$H$16,2,FALSE)</f>
        <v>Wings of Fire</v>
      </c>
      <c r="G506" t="str">
        <f>VLOOKUP(C506,Products!$A$2:$H$16,3,FALSE)</f>
        <v>APJ Abdul Kalam,
Arun Tiwari</v>
      </c>
      <c r="H506" t="str">
        <f>VLOOKUP(C506,Products!$A$2:$H$16,4,FALSE)</f>
        <v>Soft Cover</v>
      </c>
      <c r="I506">
        <f>VLOOKUP(C506,Products!$A$2:$H$16,5,FALSE)</f>
        <v>1999</v>
      </c>
      <c r="J506" s="29">
        <f>VLOOKUP(C506,Products!$A$2:$H$16,6,FALSE)</f>
        <v>1200</v>
      </c>
      <c r="K506" s="32">
        <f>VLOOKUP(C506,Products!$A$2:$H$16,7,FALSE)</f>
        <v>0.1</v>
      </c>
      <c r="L506" s="29">
        <f>VLOOKUP(C506,Products!$A$2:$H$16,8,FALSE)</f>
        <v>1320</v>
      </c>
      <c r="M506" s="41">
        <f t="shared" si="21"/>
        <v>11</v>
      </c>
      <c r="N506" s="43">
        <f t="shared" si="22"/>
        <v>5280</v>
      </c>
      <c r="O506" s="43">
        <f t="shared" si="23"/>
        <v>4800</v>
      </c>
    </row>
    <row r="507" spans="1:15" x14ac:dyDescent="0.25">
      <c r="A507" s="31">
        <v>41596</v>
      </c>
      <c r="B507" t="s">
        <v>39</v>
      </c>
      <c r="C507" s="30">
        <v>10</v>
      </c>
      <c r="D507" s="30" t="s">
        <v>38</v>
      </c>
      <c r="E507" s="30">
        <v>16</v>
      </c>
      <c r="F507" t="str">
        <f>VLOOKUP(C507,Products!$A$2:$H$16,2,FALSE)</f>
        <v>Wings of Fire</v>
      </c>
      <c r="G507" t="str">
        <f>VLOOKUP(C507,Products!$A$2:$H$16,3,FALSE)</f>
        <v>APJ Abdul Kalam,
Arun Tiwari</v>
      </c>
      <c r="H507" t="str">
        <f>VLOOKUP(C507,Products!$A$2:$H$16,4,FALSE)</f>
        <v>Soft Cover</v>
      </c>
      <c r="I507">
        <f>VLOOKUP(C507,Products!$A$2:$H$16,5,FALSE)</f>
        <v>1999</v>
      </c>
      <c r="J507" s="29">
        <f>VLOOKUP(C507,Products!$A$2:$H$16,6,FALSE)</f>
        <v>1200</v>
      </c>
      <c r="K507" s="32">
        <f>VLOOKUP(C507,Products!$A$2:$H$16,7,FALSE)</f>
        <v>0.1</v>
      </c>
      <c r="L507" s="29">
        <f>VLOOKUP(C507,Products!$A$2:$H$16,8,FALSE)</f>
        <v>1320</v>
      </c>
      <c r="M507" s="41">
        <f t="shared" si="21"/>
        <v>11</v>
      </c>
      <c r="N507" s="43">
        <f t="shared" si="22"/>
        <v>21120</v>
      </c>
      <c r="O507" s="43">
        <f t="shared" si="23"/>
        <v>19200</v>
      </c>
    </row>
    <row r="508" spans="1:15" x14ac:dyDescent="0.25">
      <c r="A508" s="31">
        <v>41597</v>
      </c>
      <c r="B508" t="s">
        <v>42</v>
      </c>
      <c r="C508" s="30">
        <v>15</v>
      </c>
      <c r="D508" s="30" t="s">
        <v>34</v>
      </c>
      <c r="E508" s="30">
        <v>13</v>
      </c>
      <c r="F508" t="str">
        <f>VLOOKUP(C508,Products!$A$2:$H$16,2,FALSE)</f>
        <v>Wings of Fire</v>
      </c>
      <c r="G508" t="str">
        <f>VLOOKUP(C508,Products!$A$2:$H$16,3,FALSE)</f>
        <v>APJ Abdul Kalam,
Arun Tiwari</v>
      </c>
      <c r="H508" t="str">
        <f>VLOOKUP(C508,Products!$A$2:$H$16,4,FALSE)</f>
        <v>e-book</v>
      </c>
      <c r="I508">
        <f>VLOOKUP(C508,Products!$A$2:$H$16,5,FALSE)</f>
        <v>2005</v>
      </c>
      <c r="J508" s="29">
        <f>VLOOKUP(C508,Products!$A$2:$H$16,6,FALSE)</f>
        <v>500</v>
      </c>
      <c r="K508" s="32">
        <f>VLOOKUP(C508,Products!$A$2:$H$16,7,FALSE)</f>
        <v>0.1</v>
      </c>
      <c r="L508" s="29">
        <f>VLOOKUP(C508,Products!$A$2:$H$16,8,FALSE)</f>
        <v>550</v>
      </c>
      <c r="M508" s="41">
        <f t="shared" si="21"/>
        <v>11</v>
      </c>
      <c r="N508" s="43">
        <f t="shared" si="22"/>
        <v>7150</v>
      </c>
      <c r="O508" s="43">
        <f t="shared" si="23"/>
        <v>6500</v>
      </c>
    </row>
    <row r="509" spans="1:15" x14ac:dyDescent="0.25">
      <c r="A509" s="31">
        <v>41598</v>
      </c>
      <c r="B509" t="s">
        <v>36</v>
      </c>
      <c r="C509" s="30">
        <v>8</v>
      </c>
      <c r="D509" s="30" t="s">
        <v>34</v>
      </c>
      <c r="E509" s="30">
        <v>15</v>
      </c>
      <c r="F509" t="str">
        <f>VLOOKUP(C509,Products!$A$2:$H$16,2,FALSE)</f>
        <v>Glimpses of World History</v>
      </c>
      <c r="G509" t="str">
        <f>VLOOKUP(C509,Products!$A$2:$H$16,3,FALSE)</f>
        <v>Jawaharlal Nehru</v>
      </c>
      <c r="H509" t="str">
        <f>VLOOKUP(C509,Products!$A$2:$H$16,4,FALSE)</f>
        <v>Soft Cover</v>
      </c>
      <c r="I509">
        <f>VLOOKUP(C509,Products!$A$2:$H$16,5,FALSE)</f>
        <v>1934</v>
      </c>
      <c r="J509" s="29">
        <f>VLOOKUP(C509,Products!$A$2:$H$16,6,FALSE)</f>
        <v>650</v>
      </c>
      <c r="K509" s="32">
        <f>VLOOKUP(C509,Products!$A$2:$H$16,7,FALSE)</f>
        <v>0.2</v>
      </c>
      <c r="L509" s="29">
        <f>VLOOKUP(C509,Products!$A$2:$H$16,8,FALSE)</f>
        <v>780</v>
      </c>
      <c r="M509" s="41">
        <f t="shared" si="21"/>
        <v>11</v>
      </c>
      <c r="N509" s="43">
        <f t="shared" si="22"/>
        <v>11700</v>
      </c>
      <c r="O509" s="43">
        <f t="shared" si="23"/>
        <v>9750</v>
      </c>
    </row>
    <row r="510" spans="1:15" x14ac:dyDescent="0.25">
      <c r="A510" s="31">
        <v>41598</v>
      </c>
      <c r="B510" t="s">
        <v>40</v>
      </c>
      <c r="C510" s="30">
        <v>13</v>
      </c>
      <c r="D510" s="30" t="s">
        <v>34</v>
      </c>
      <c r="E510" s="30">
        <v>4</v>
      </c>
      <c r="F510" t="str">
        <f>VLOOKUP(C510,Products!$A$2:$H$16,2,FALSE)</f>
        <v>Glimpses of World History</v>
      </c>
      <c r="G510" t="str">
        <f>VLOOKUP(C510,Products!$A$2:$H$16,3,FALSE)</f>
        <v>Jawaharlal Nehru</v>
      </c>
      <c r="H510" t="str">
        <f>VLOOKUP(C510,Products!$A$2:$H$16,4,FALSE)</f>
        <v>e-book</v>
      </c>
      <c r="I510">
        <f>VLOOKUP(C510,Products!$A$2:$H$16,5,FALSE)</f>
        <v>2005</v>
      </c>
      <c r="J510" s="29">
        <f>VLOOKUP(C510,Products!$A$2:$H$16,6,FALSE)</f>
        <v>300</v>
      </c>
      <c r="K510" s="32">
        <f>VLOOKUP(C510,Products!$A$2:$H$16,7,FALSE)</f>
        <v>0.2</v>
      </c>
      <c r="L510" s="29">
        <f>VLOOKUP(C510,Products!$A$2:$H$16,8,FALSE)</f>
        <v>360</v>
      </c>
      <c r="M510" s="41">
        <f t="shared" si="21"/>
        <v>11</v>
      </c>
      <c r="N510" s="43">
        <f t="shared" si="22"/>
        <v>1440</v>
      </c>
      <c r="O510" s="43">
        <f t="shared" si="23"/>
        <v>1200</v>
      </c>
    </row>
    <row r="511" spans="1:15" x14ac:dyDescent="0.25">
      <c r="A511" s="31">
        <v>41601</v>
      </c>
      <c r="B511" t="s">
        <v>40</v>
      </c>
      <c r="C511" s="30">
        <v>3</v>
      </c>
      <c r="D511" s="30" t="s">
        <v>38</v>
      </c>
      <c r="E511" s="30">
        <v>10</v>
      </c>
      <c r="F511" t="str">
        <f>VLOOKUP(C511,Products!$A$2:$H$16,2,FALSE)</f>
        <v>Glimpses of World History</v>
      </c>
      <c r="G511" t="str">
        <f>VLOOKUP(C511,Products!$A$2:$H$16,3,FALSE)</f>
        <v>Jawaharlal Nehru</v>
      </c>
      <c r="H511" t="str">
        <f>VLOOKUP(C511,Products!$A$2:$H$16,4,FALSE)</f>
        <v>Hard Cover</v>
      </c>
      <c r="I511">
        <f>VLOOKUP(C511,Products!$A$2:$H$16,5,FALSE)</f>
        <v>1934</v>
      </c>
      <c r="J511" s="29">
        <f>VLOOKUP(C511,Products!$A$2:$H$16,6,FALSE)</f>
        <v>750.45899999999995</v>
      </c>
      <c r="K511" s="32">
        <f>VLOOKUP(C511,Products!$A$2:$H$16,7,FALSE)</f>
        <v>0.2</v>
      </c>
      <c r="L511" s="29">
        <f>VLOOKUP(C511,Products!$A$2:$H$16,8,FALSE)</f>
        <v>900.55079999999998</v>
      </c>
      <c r="M511" s="41">
        <f t="shared" si="21"/>
        <v>11</v>
      </c>
      <c r="N511" s="43">
        <f t="shared" si="22"/>
        <v>9005.5079999999998</v>
      </c>
      <c r="O511" s="43">
        <f t="shared" si="23"/>
        <v>7504.5899999999992</v>
      </c>
    </row>
    <row r="512" spans="1:15" x14ac:dyDescent="0.25">
      <c r="A512" s="31">
        <v>41601</v>
      </c>
      <c r="B512" t="s">
        <v>36</v>
      </c>
      <c r="C512" s="30">
        <v>3</v>
      </c>
      <c r="D512" s="30" t="s">
        <v>34</v>
      </c>
      <c r="E512" s="30">
        <v>18</v>
      </c>
      <c r="F512" t="str">
        <f>VLOOKUP(C512,Products!$A$2:$H$16,2,FALSE)</f>
        <v>Glimpses of World History</v>
      </c>
      <c r="G512" t="str">
        <f>VLOOKUP(C512,Products!$A$2:$H$16,3,FALSE)</f>
        <v>Jawaharlal Nehru</v>
      </c>
      <c r="H512" t="str">
        <f>VLOOKUP(C512,Products!$A$2:$H$16,4,FALSE)</f>
        <v>Hard Cover</v>
      </c>
      <c r="I512">
        <f>VLOOKUP(C512,Products!$A$2:$H$16,5,FALSE)</f>
        <v>1934</v>
      </c>
      <c r="J512" s="29">
        <f>VLOOKUP(C512,Products!$A$2:$H$16,6,FALSE)</f>
        <v>750.45899999999995</v>
      </c>
      <c r="K512" s="32">
        <f>VLOOKUP(C512,Products!$A$2:$H$16,7,FALSE)</f>
        <v>0.2</v>
      </c>
      <c r="L512" s="29">
        <f>VLOOKUP(C512,Products!$A$2:$H$16,8,FALSE)</f>
        <v>900.55079999999998</v>
      </c>
      <c r="M512" s="41">
        <f t="shared" si="21"/>
        <v>11</v>
      </c>
      <c r="N512" s="43">
        <f t="shared" si="22"/>
        <v>16209.9144</v>
      </c>
      <c r="O512" s="43">
        <f t="shared" si="23"/>
        <v>13508.261999999999</v>
      </c>
    </row>
    <row r="513" spans="1:15" x14ac:dyDescent="0.25">
      <c r="A513" s="31">
        <v>41601</v>
      </c>
      <c r="B513" t="s">
        <v>41</v>
      </c>
      <c r="C513" s="30">
        <v>9</v>
      </c>
      <c r="D513" s="30" t="s">
        <v>34</v>
      </c>
      <c r="E513" s="30">
        <v>19</v>
      </c>
      <c r="F513" t="str">
        <f>VLOOKUP(C513,Products!$A$2:$H$16,2,FALSE)</f>
        <v>A Guide to Health</v>
      </c>
      <c r="G513" t="str">
        <f>VLOOKUP(C513,Products!$A$2:$H$16,3,FALSE)</f>
        <v>Mahatma Gandhi</v>
      </c>
      <c r="H513" t="str">
        <f>VLOOKUP(C513,Products!$A$2:$H$16,4,FALSE)</f>
        <v>Soft Cover</v>
      </c>
      <c r="I513">
        <f>VLOOKUP(C513,Products!$A$2:$H$16,5,FALSE)</f>
        <v>1921</v>
      </c>
      <c r="J513" s="29">
        <f>VLOOKUP(C513,Products!$A$2:$H$16,6,FALSE)</f>
        <v>220</v>
      </c>
      <c r="K513" s="32">
        <f>VLOOKUP(C513,Products!$A$2:$H$16,7,FALSE)</f>
        <v>0.15</v>
      </c>
      <c r="L513" s="29">
        <f>VLOOKUP(C513,Products!$A$2:$H$16,8,FALSE)</f>
        <v>253</v>
      </c>
      <c r="M513" s="41">
        <f t="shared" si="21"/>
        <v>11</v>
      </c>
      <c r="N513" s="43">
        <f t="shared" si="22"/>
        <v>4807</v>
      </c>
      <c r="O513" s="43">
        <f t="shared" si="23"/>
        <v>4180</v>
      </c>
    </row>
    <row r="514" spans="1:15" x14ac:dyDescent="0.25">
      <c r="A514" s="31">
        <v>41602</v>
      </c>
      <c r="B514" t="s">
        <v>36</v>
      </c>
      <c r="C514" s="30">
        <v>2</v>
      </c>
      <c r="D514" s="30" t="s">
        <v>38</v>
      </c>
      <c r="E514" s="30">
        <v>18</v>
      </c>
      <c r="F514" t="str">
        <f>VLOOKUP(C514,Products!$A$2:$H$16,2,FALSE)</f>
        <v>The Story of my Experiments with Truth</v>
      </c>
      <c r="G514" t="str">
        <f>VLOOKUP(C514,Products!$A$2:$H$16,3,FALSE)</f>
        <v>Mahatma Gandhi</v>
      </c>
      <c r="H514" t="str">
        <f>VLOOKUP(C514,Products!$A$2:$H$16,4,FALSE)</f>
        <v>Hard Cover</v>
      </c>
      <c r="I514">
        <f>VLOOKUP(C514,Products!$A$2:$H$16,5,FALSE)</f>
        <v>1927</v>
      </c>
      <c r="J514" s="29">
        <f>VLOOKUP(C514,Products!$A$2:$H$16,6,FALSE)</f>
        <v>159</v>
      </c>
      <c r="K514" s="32">
        <f>VLOOKUP(C514,Products!$A$2:$H$16,7,FALSE)</f>
        <v>0.3</v>
      </c>
      <c r="L514" s="29">
        <f>VLOOKUP(C514,Products!$A$2:$H$16,8,FALSE)</f>
        <v>206.7</v>
      </c>
      <c r="M514" s="41">
        <f t="shared" si="21"/>
        <v>11</v>
      </c>
      <c r="N514" s="43">
        <f t="shared" si="22"/>
        <v>3720.6</v>
      </c>
      <c r="O514" s="43">
        <f t="shared" si="23"/>
        <v>2862</v>
      </c>
    </row>
    <row r="515" spans="1:15" x14ac:dyDescent="0.25">
      <c r="A515" s="31">
        <v>41602</v>
      </c>
      <c r="B515" t="s">
        <v>33</v>
      </c>
      <c r="C515" s="30">
        <v>3</v>
      </c>
      <c r="D515" s="30" t="s">
        <v>34</v>
      </c>
      <c r="E515" s="30">
        <v>9</v>
      </c>
      <c r="F515" t="str">
        <f>VLOOKUP(C515,Products!$A$2:$H$16,2,FALSE)</f>
        <v>Glimpses of World History</v>
      </c>
      <c r="G515" t="str">
        <f>VLOOKUP(C515,Products!$A$2:$H$16,3,FALSE)</f>
        <v>Jawaharlal Nehru</v>
      </c>
      <c r="H515" t="str">
        <f>VLOOKUP(C515,Products!$A$2:$H$16,4,FALSE)</f>
        <v>Hard Cover</v>
      </c>
      <c r="I515">
        <f>VLOOKUP(C515,Products!$A$2:$H$16,5,FALSE)</f>
        <v>1934</v>
      </c>
      <c r="J515" s="29">
        <f>VLOOKUP(C515,Products!$A$2:$H$16,6,FALSE)</f>
        <v>750.45899999999995</v>
      </c>
      <c r="K515" s="32">
        <f>VLOOKUP(C515,Products!$A$2:$H$16,7,FALSE)</f>
        <v>0.2</v>
      </c>
      <c r="L515" s="29">
        <f>VLOOKUP(C515,Products!$A$2:$H$16,8,FALSE)</f>
        <v>900.55079999999998</v>
      </c>
      <c r="M515" s="41">
        <f t="shared" ref="M515:M569" si="24">MONTH(A515)</f>
        <v>11</v>
      </c>
      <c r="N515" s="43">
        <f t="shared" ref="N515:N569" si="25">L515*E515</f>
        <v>8104.9571999999998</v>
      </c>
      <c r="O515" s="43">
        <f t="shared" ref="O515:O569" si="26">J515*E515</f>
        <v>6754.1309999999994</v>
      </c>
    </row>
    <row r="516" spans="1:15" x14ac:dyDescent="0.25">
      <c r="A516" s="31">
        <v>41602</v>
      </c>
      <c r="B516" t="s">
        <v>37</v>
      </c>
      <c r="C516" s="30">
        <v>13</v>
      </c>
      <c r="D516" s="30" t="s">
        <v>38</v>
      </c>
      <c r="E516" s="30">
        <v>16</v>
      </c>
      <c r="F516" t="str">
        <f>VLOOKUP(C516,Products!$A$2:$H$16,2,FALSE)</f>
        <v>Glimpses of World History</v>
      </c>
      <c r="G516" t="str">
        <f>VLOOKUP(C516,Products!$A$2:$H$16,3,FALSE)</f>
        <v>Jawaharlal Nehru</v>
      </c>
      <c r="H516" t="str">
        <f>VLOOKUP(C516,Products!$A$2:$H$16,4,FALSE)</f>
        <v>e-book</v>
      </c>
      <c r="I516">
        <f>VLOOKUP(C516,Products!$A$2:$H$16,5,FALSE)</f>
        <v>2005</v>
      </c>
      <c r="J516" s="29">
        <f>VLOOKUP(C516,Products!$A$2:$H$16,6,FALSE)</f>
        <v>300</v>
      </c>
      <c r="K516" s="32">
        <f>VLOOKUP(C516,Products!$A$2:$H$16,7,FALSE)</f>
        <v>0.2</v>
      </c>
      <c r="L516" s="29">
        <f>VLOOKUP(C516,Products!$A$2:$H$16,8,FALSE)</f>
        <v>360</v>
      </c>
      <c r="M516" s="41">
        <f t="shared" si="24"/>
        <v>11</v>
      </c>
      <c r="N516" s="43">
        <f t="shared" si="25"/>
        <v>5760</v>
      </c>
      <c r="O516" s="43">
        <f t="shared" si="26"/>
        <v>4800</v>
      </c>
    </row>
    <row r="517" spans="1:15" x14ac:dyDescent="0.25">
      <c r="A517" s="31">
        <v>41603</v>
      </c>
      <c r="B517" t="s">
        <v>42</v>
      </c>
      <c r="C517" s="30">
        <v>5</v>
      </c>
      <c r="D517" s="30" t="s">
        <v>38</v>
      </c>
      <c r="E517" s="30">
        <v>6</v>
      </c>
      <c r="F517" t="str">
        <f>VLOOKUP(C517,Products!$A$2:$H$16,2,FALSE)</f>
        <v>Wings of Fire</v>
      </c>
      <c r="G517" t="str">
        <f>VLOOKUP(C517,Products!$A$2:$H$16,3,FALSE)</f>
        <v>APJ Abdul Kalam,
Arun Tiwari</v>
      </c>
      <c r="H517" t="str">
        <f>VLOOKUP(C517,Products!$A$2:$H$16,4,FALSE)</f>
        <v>Hard Cover</v>
      </c>
      <c r="I517">
        <f>VLOOKUP(C517,Products!$A$2:$H$16,5,FALSE)</f>
        <v>1999</v>
      </c>
      <c r="J517" s="29">
        <f>VLOOKUP(C517,Products!$A$2:$H$16,6,FALSE)</f>
        <v>1275.2488000000001</v>
      </c>
      <c r="K517" s="32">
        <f>VLOOKUP(C517,Products!$A$2:$H$16,7,FALSE)</f>
        <v>0.1</v>
      </c>
      <c r="L517" s="29">
        <f>VLOOKUP(C517,Products!$A$2:$H$16,8,FALSE)</f>
        <v>1402.77368</v>
      </c>
      <c r="M517" s="41">
        <f t="shared" si="24"/>
        <v>11</v>
      </c>
      <c r="N517" s="43">
        <f t="shared" si="25"/>
        <v>8416.6420799999996</v>
      </c>
      <c r="O517" s="43">
        <f t="shared" si="26"/>
        <v>7651.4928</v>
      </c>
    </row>
    <row r="518" spans="1:15" x14ac:dyDescent="0.25">
      <c r="A518" s="31">
        <v>41604</v>
      </c>
      <c r="B518" t="s">
        <v>33</v>
      </c>
      <c r="C518" s="30">
        <v>2</v>
      </c>
      <c r="D518" s="30" t="s">
        <v>38</v>
      </c>
      <c r="E518" s="30">
        <v>6</v>
      </c>
      <c r="F518" t="str">
        <f>VLOOKUP(C518,Products!$A$2:$H$16,2,FALSE)</f>
        <v>The Story of my Experiments with Truth</v>
      </c>
      <c r="G518" t="str">
        <f>VLOOKUP(C518,Products!$A$2:$H$16,3,FALSE)</f>
        <v>Mahatma Gandhi</v>
      </c>
      <c r="H518" t="str">
        <f>VLOOKUP(C518,Products!$A$2:$H$16,4,FALSE)</f>
        <v>Hard Cover</v>
      </c>
      <c r="I518">
        <f>VLOOKUP(C518,Products!$A$2:$H$16,5,FALSE)</f>
        <v>1927</v>
      </c>
      <c r="J518" s="29">
        <f>VLOOKUP(C518,Products!$A$2:$H$16,6,FALSE)</f>
        <v>159</v>
      </c>
      <c r="K518" s="32">
        <f>VLOOKUP(C518,Products!$A$2:$H$16,7,FALSE)</f>
        <v>0.3</v>
      </c>
      <c r="L518" s="29">
        <f>VLOOKUP(C518,Products!$A$2:$H$16,8,FALSE)</f>
        <v>206.7</v>
      </c>
      <c r="M518" s="41">
        <f t="shared" si="24"/>
        <v>11</v>
      </c>
      <c r="N518" s="43">
        <f t="shared" si="25"/>
        <v>1240.1999999999998</v>
      </c>
      <c r="O518" s="43">
        <f t="shared" si="26"/>
        <v>954</v>
      </c>
    </row>
    <row r="519" spans="1:15" x14ac:dyDescent="0.25">
      <c r="A519" s="31">
        <v>41606</v>
      </c>
      <c r="B519" t="s">
        <v>36</v>
      </c>
      <c r="C519" s="30">
        <v>4</v>
      </c>
      <c r="D519" s="30" t="s">
        <v>34</v>
      </c>
      <c r="E519" s="30">
        <v>3</v>
      </c>
      <c r="F519" t="str">
        <f>VLOOKUP(C519,Products!$A$2:$H$16,2,FALSE)</f>
        <v>A Guide to Health</v>
      </c>
      <c r="G519" t="str">
        <f>VLOOKUP(C519,Products!$A$2:$H$16,3,FALSE)</f>
        <v>Mahatma Gandhi</v>
      </c>
      <c r="H519" t="str">
        <f>VLOOKUP(C519,Products!$A$2:$H$16,4,FALSE)</f>
        <v>Hard Cover</v>
      </c>
      <c r="I519">
        <f>VLOOKUP(C519,Products!$A$2:$H$16,5,FALSE)</f>
        <v>1921</v>
      </c>
      <c r="J519" s="29">
        <f>VLOOKUP(C519,Products!$A$2:$H$16,6,FALSE)</f>
        <v>250</v>
      </c>
      <c r="K519" s="32">
        <f>VLOOKUP(C519,Products!$A$2:$H$16,7,FALSE)</f>
        <v>0.15</v>
      </c>
      <c r="L519" s="29">
        <f>VLOOKUP(C519,Products!$A$2:$H$16,8,FALSE)</f>
        <v>287.5</v>
      </c>
      <c r="M519" s="41">
        <f t="shared" si="24"/>
        <v>11</v>
      </c>
      <c r="N519" s="43">
        <f t="shared" si="25"/>
        <v>862.5</v>
      </c>
      <c r="O519" s="43">
        <f t="shared" si="26"/>
        <v>750</v>
      </c>
    </row>
    <row r="520" spans="1:15" x14ac:dyDescent="0.25">
      <c r="A520" s="31">
        <v>41606</v>
      </c>
      <c r="B520" t="s">
        <v>40</v>
      </c>
      <c r="C520" s="30">
        <v>5</v>
      </c>
      <c r="D520" s="30" t="s">
        <v>38</v>
      </c>
      <c r="E520" s="30">
        <v>17</v>
      </c>
      <c r="F520" t="str">
        <f>VLOOKUP(C520,Products!$A$2:$H$16,2,FALSE)</f>
        <v>Wings of Fire</v>
      </c>
      <c r="G520" t="str">
        <f>VLOOKUP(C520,Products!$A$2:$H$16,3,FALSE)</f>
        <v>APJ Abdul Kalam,
Arun Tiwari</v>
      </c>
      <c r="H520" t="str">
        <f>VLOOKUP(C520,Products!$A$2:$H$16,4,FALSE)</f>
        <v>Hard Cover</v>
      </c>
      <c r="I520">
        <f>VLOOKUP(C520,Products!$A$2:$H$16,5,FALSE)</f>
        <v>1999</v>
      </c>
      <c r="J520" s="29">
        <f>VLOOKUP(C520,Products!$A$2:$H$16,6,FALSE)</f>
        <v>1275.2488000000001</v>
      </c>
      <c r="K520" s="32">
        <f>VLOOKUP(C520,Products!$A$2:$H$16,7,FALSE)</f>
        <v>0.1</v>
      </c>
      <c r="L520" s="29">
        <f>VLOOKUP(C520,Products!$A$2:$H$16,8,FALSE)</f>
        <v>1402.77368</v>
      </c>
      <c r="M520" s="41">
        <f t="shared" si="24"/>
        <v>11</v>
      </c>
      <c r="N520" s="43">
        <f t="shared" si="25"/>
        <v>23847.152559999999</v>
      </c>
      <c r="O520" s="43">
        <f t="shared" si="26"/>
        <v>21679.229600000002</v>
      </c>
    </row>
    <row r="521" spans="1:15" x14ac:dyDescent="0.25">
      <c r="A521" s="31">
        <v>41607</v>
      </c>
      <c r="B521" t="s">
        <v>41</v>
      </c>
      <c r="C521" s="30">
        <v>14</v>
      </c>
      <c r="D521" s="30" t="s">
        <v>38</v>
      </c>
      <c r="E521" s="30">
        <v>15</v>
      </c>
      <c r="F521" t="str">
        <f>VLOOKUP(C521,Products!$A$2:$H$16,2,FALSE)</f>
        <v>A Guide to Health</v>
      </c>
      <c r="G521" t="str">
        <f>VLOOKUP(C521,Products!$A$2:$H$16,3,FALSE)</f>
        <v>Mahatma Gandhi</v>
      </c>
      <c r="H521" t="str">
        <f>VLOOKUP(C521,Products!$A$2:$H$16,4,FALSE)</f>
        <v>e-book</v>
      </c>
      <c r="I521">
        <f>VLOOKUP(C521,Products!$A$2:$H$16,5,FALSE)</f>
        <v>2005</v>
      </c>
      <c r="J521" s="29">
        <f>VLOOKUP(C521,Products!$A$2:$H$16,6,FALSE)</f>
        <v>105</v>
      </c>
      <c r="K521" s="32">
        <f>VLOOKUP(C521,Products!$A$2:$H$16,7,FALSE)</f>
        <v>0.15</v>
      </c>
      <c r="L521" s="29">
        <f>VLOOKUP(C521,Products!$A$2:$H$16,8,FALSE)</f>
        <v>120.75</v>
      </c>
      <c r="M521" s="41">
        <f t="shared" si="24"/>
        <v>11</v>
      </c>
      <c r="N521" s="43">
        <f t="shared" si="25"/>
        <v>1811.25</v>
      </c>
      <c r="O521" s="43">
        <f t="shared" si="26"/>
        <v>1575</v>
      </c>
    </row>
    <row r="522" spans="1:15" x14ac:dyDescent="0.25">
      <c r="A522" s="31">
        <v>41608</v>
      </c>
      <c r="B522" t="s">
        <v>37</v>
      </c>
      <c r="C522" s="30">
        <v>10</v>
      </c>
      <c r="D522" s="30" t="s">
        <v>38</v>
      </c>
      <c r="E522" s="30">
        <v>16</v>
      </c>
      <c r="F522" t="str">
        <f>VLOOKUP(C522,Products!$A$2:$H$16,2,FALSE)</f>
        <v>Wings of Fire</v>
      </c>
      <c r="G522" t="str">
        <f>VLOOKUP(C522,Products!$A$2:$H$16,3,FALSE)</f>
        <v>APJ Abdul Kalam,
Arun Tiwari</v>
      </c>
      <c r="H522" t="str">
        <f>VLOOKUP(C522,Products!$A$2:$H$16,4,FALSE)</f>
        <v>Soft Cover</v>
      </c>
      <c r="I522">
        <f>VLOOKUP(C522,Products!$A$2:$H$16,5,FALSE)</f>
        <v>1999</v>
      </c>
      <c r="J522" s="29">
        <f>VLOOKUP(C522,Products!$A$2:$H$16,6,FALSE)</f>
        <v>1200</v>
      </c>
      <c r="K522" s="32">
        <f>VLOOKUP(C522,Products!$A$2:$H$16,7,FALSE)</f>
        <v>0.1</v>
      </c>
      <c r="L522" s="29">
        <f>VLOOKUP(C522,Products!$A$2:$H$16,8,FALSE)</f>
        <v>1320</v>
      </c>
      <c r="M522" s="41">
        <f t="shared" si="24"/>
        <v>11</v>
      </c>
      <c r="N522" s="43">
        <f t="shared" si="25"/>
        <v>21120</v>
      </c>
      <c r="O522" s="43">
        <f t="shared" si="26"/>
        <v>19200</v>
      </c>
    </row>
    <row r="523" spans="1:15" x14ac:dyDescent="0.25">
      <c r="A523" s="31">
        <v>41609</v>
      </c>
      <c r="B523" t="s">
        <v>33</v>
      </c>
      <c r="C523" s="30">
        <v>15</v>
      </c>
      <c r="D523" s="30" t="s">
        <v>34</v>
      </c>
      <c r="E523" s="30">
        <v>5</v>
      </c>
      <c r="F523" t="str">
        <f>VLOOKUP(C523,Products!$A$2:$H$16,2,FALSE)</f>
        <v>Wings of Fire</v>
      </c>
      <c r="G523" t="str">
        <f>VLOOKUP(C523,Products!$A$2:$H$16,3,FALSE)</f>
        <v>APJ Abdul Kalam,
Arun Tiwari</v>
      </c>
      <c r="H523" t="str">
        <f>VLOOKUP(C523,Products!$A$2:$H$16,4,FALSE)</f>
        <v>e-book</v>
      </c>
      <c r="I523">
        <f>VLOOKUP(C523,Products!$A$2:$H$16,5,FALSE)</f>
        <v>2005</v>
      </c>
      <c r="J523" s="29">
        <f>VLOOKUP(C523,Products!$A$2:$H$16,6,FALSE)</f>
        <v>500</v>
      </c>
      <c r="K523" s="32">
        <f>VLOOKUP(C523,Products!$A$2:$H$16,7,FALSE)</f>
        <v>0.1</v>
      </c>
      <c r="L523" s="29">
        <f>VLOOKUP(C523,Products!$A$2:$H$16,8,FALSE)</f>
        <v>550</v>
      </c>
      <c r="M523" s="41">
        <f t="shared" si="24"/>
        <v>12</v>
      </c>
      <c r="N523" s="43">
        <f t="shared" si="25"/>
        <v>2750</v>
      </c>
      <c r="O523" s="43">
        <f t="shared" si="26"/>
        <v>2500</v>
      </c>
    </row>
    <row r="524" spans="1:15" x14ac:dyDescent="0.25">
      <c r="A524" s="31">
        <v>41609</v>
      </c>
      <c r="B524" t="s">
        <v>42</v>
      </c>
      <c r="C524" s="30">
        <v>8</v>
      </c>
      <c r="D524" s="30" t="s">
        <v>38</v>
      </c>
      <c r="E524" s="30">
        <v>9</v>
      </c>
      <c r="F524" t="str">
        <f>VLOOKUP(C524,Products!$A$2:$H$16,2,FALSE)</f>
        <v>Glimpses of World History</v>
      </c>
      <c r="G524" t="str">
        <f>VLOOKUP(C524,Products!$A$2:$H$16,3,FALSE)</f>
        <v>Jawaharlal Nehru</v>
      </c>
      <c r="H524" t="str">
        <f>VLOOKUP(C524,Products!$A$2:$H$16,4,FALSE)</f>
        <v>Soft Cover</v>
      </c>
      <c r="I524">
        <f>VLOOKUP(C524,Products!$A$2:$H$16,5,FALSE)</f>
        <v>1934</v>
      </c>
      <c r="J524" s="29">
        <f>VLOOKUP(C524,Products!$A$2:$H$16,6,FALSE)</f>
        <v>650</v>
      </c>
      <c r="K524" s="32">
        <f>VLOOKUP(C524,Products!$A$2:$H$16,7,FALSE)</f>
        <v>0.2</v>
      </c>
      <c r="L524" s="29">
        <f>VLOOKUP(C524,Products!$A$2:$H$16,8,FALSE)</f>
        <v>780</v>
      </c>
      <c r="M524" s="41">
        <f t="shared" si="24"/>
        <v>12</v>
      </c>
      <c r="N524" s="43">
        <f t="shared" si="25"/>
        <v>7020</v>
      </c>
      <c r="O524" s="43">
        <f t="shared" si="26"/>
        <v>5850</v>
      </c>
    </row>
    <row r="525" spans="1:15" x14ac:dyDescent="0.25">
      <c r="A525" s="31">
        <v>41610</v>
      </c>
      <c r="B525" t="s">
        <v>33</v>
      </c>
      <c r="C525" s="30">
        <v>13</v>
      </c>
      <c r="D525" s="30" t="s">
        <v>38</v>
      </c>
      <c r="E525" s="30">
        <v>2</v>
      </c>
      <c r="F525" t="str">
        <f>VLOOKUP(C525,Products!$A$2:$H$16,2,FALSE)</f>
        <v>Glimpses of World History</v>
      </c>
      <c r="G525" t="str">
        <f>VLOOKUP(C525,Products!$A$2:$H$16,3,FALSE)</f>
        <v>Jawaharlal Nehru</v>
      </c>
      <c r="H525" t="str">
        <f>VLOOKUP(C525,Products!$A$2:$H$16,4,FALSE)</f>
        <v>e-book</v>
      </c>
      <c r="I525">
        <f>VLOOKUP(C525,Products!$A$2:$H$16,5,FALSE)</f>
        <v>2005</v>
      </c>
      <c r="J525" s="29">
        <f>VLOOKUP(C525,Products!$A$2:$H$16,6,FALSE)</f>
        <v>300</v>
      </c>
      <c r="K525" s="32">
        <f>VLOOKUP(C525,Products!$A$2:$H$16,7,FALSE)</f>
        <v>0.2</v>
      </c>
      <c r="L525" s="29">
        <f>VLOOKUP(C525,Products!$A$2:$H$16,8,FALSE)</f>
        <v>360</v>
      </c>
      <c r="M525" s="41">
        <f t="shared" si="24"/>
        <v>12</v>
      </c>
      <c r="N525" s="43">
        <f t="shared" si="25"/>
        <v>720</v>
      </c>
      <c r="O525" s="43">
        <f t="shared" si="26"/>
        <v>600</v>
      </c>
    </row>
    <row r="526" spans="1:15" x14ac:dyDescent="0.25">
      <c r="A526" s="31">
        <v>41611</v>
      </c>
      <c r="B526" t="s">
        <v>41</v>
      </c>
      <c r="C526" s="30">
        <v>13</v>
      </c>
      <c r="D526" s="30" t="s">
        <v>38</v>
      </c>
      <c r="E526" s="30">
        <v>15</v>
      </c>
      <c r="F526" t="str">
        <f>VLOOKUP(C526,Products!$A$2:$H$16,2,FALSE)</f>
        <v>Glimpses of World History</v>
      </c>
      <c r="G526" t="str">
        <f>VLOOKUP(C526,Products!$A$2:$H$16,3,FALSE)</f>
        <v>Jawaharlal Nehru</v>
      </c>
      <c r="H526" t="str">
        <f>VLOOKUP(C526,Products!$A$2:$H$16,4,FALSE)</f>
        <v>e-book</v>
      </c>
      <c r="I526">
        <f>VLOOKUP(C526,Products!$A$2:$H$16,5,FALSE)</f>
        <v>2005</v>
      </c>
      <c r="J526" s="29">
        <f>VLOOKUP(C526,Products!$A$2:$H$16,6,FALSE)</f>
        <v>300</v>
      </c>
      <c r="K526" s="32">
        <f>VLOOKUP(C526,Products!$A$2:$H$16,7,FALSE)</f>
        <v>0.2</v>
      </c>
      <c r="L526" s="29">
        <f>VLOOKUP(C526,Products!$A$2:$H$16,8,FALSE)</f>
        <v>360</v>
      </c>
      <c r="M526" s="41">
        <f t="shared" si="24"/>
        <v>12</v>
      </c>
      <c r="N526" s="43">
        <f t="shared" si="25"/>
        <v>5400</v>
      </c>
      <c r="O526" s="43">
        <f t="shared" si="26"/>
        <v>4500</v>
      </c>
    </row>
    <row r="527" spans="1:15" x14ac:dyDescent="0.25">
      <c r="A527" s="31">
        <v>41612</v>
      </c>
      <c r="B527" t="s">
        <v>40</v>
      </c>
      <c r="C527" s="30">
        <v>15</v>
      </c>
      <c r="D527" s="30" t="s">
        <v>34</v>
      </c>
      <c r="E527" s="30">
        <v>4</v>
      </c>
      <c r="F527" t="str">
        <f>VLOOKUP(C527,Products!$A$2:$H$16,2,FALSE)</f>
        <v>Wings of Fire</v>
      </c>
      <c r="G527" t="str">
        <f>VLOOKUP(C527,Products!$A$2:$H$16,3,FALSE)</f>
        <v>APJ Abdul Kalam,
Arun Tiwari</v>
      </c>
      <c r="H527" t="str">
        <f>VLOOKUP(C527,Products!$A$2:$H$16,4,FALSE)</f>
        <v>e-book</v>
      </c>
      <c r="I527">
        <f>VLOOKUP(C527,Products!$A$2:$H$16,5,FALSE)</f>
        <v>2005</v>
      </c>
      <c r="J527" s="29">
        <f>VLOOKUP(C527,Products!$A$2:$H$16,6,FALSE)</f>
        <v>500</v>
      </c>
      <c r="K527" s="32">
        <f>VLOOKUP(C527,Products!$A$2:$H$16,7,FALSE)</f>
        <v>0.1</v>
      </c>
      <c r="L527" s="29">
        <f>VLOOKUP(C527,Products!$A$2:$H$16,8,FALSE)</f>
        <v>550</v>
      </c>
      <c r="M527" s="41">
        <f t="shared" si="24"/>
        <v>12</v>
      </c>
      <c r="N527" s="43">
        <f t="shared" si="25"/>
        <v>2200</v>
      </c>
      <c r="O527" s="43">
        <f t="shared" si="26"/>
        <v>2000</v>
      </c>
    </row>
    <row r="528" spans="1:15" x14ac:dyDescent="0.25">
      <c r="A528" s="31">
        <v>41612</v>
      </c>
      <c r="B528" t="s">
        <v>33</v>
      </c>
      <c r="C528" s="30">
        <v>4</v>
      </c>
      <c r="D528" s="30" t="s">
        <v>34</v>
      </c>
      <c r="E528" s="30">
        <v>5</v>
      </c>
      <c r="F528" t="str">
        <f>VLOOKUP(C528,Products!$A$2:$H$16,2,FALSE)</f>
        <v>A Guide to Health</v>
      </c>
      <c r="G528" t="str">
        <f>VLOOKUP(C528,Products!$A$2:$H$16,3,FALSE)</f>
        <v>Mahatma Gandhi</v>
      </c>
      <c r="H528" t="str">
        <f>VLOOKUP(C528,Products!$A$2:$H$16,4,FALSE)</f>
        <v>Hard Cover</v>
      </c>
      <c r="I528">
        <f>VLOOKUP(C528,Products!$A$2:$H$16,5,FALSE)</f>
        <v>1921</v>
      </c>
      <c r="J528" s="29">
        <f>VLOOKUP(C528,Products!$A$2:$H$16,6,FALSE)</f>
        <v>250</v>
      </c>
      <c r="K528" s="32">
        <f>VLOOKUP(C528,Products!$A$2:$H$16,7,FALSE)</f>
        <v>0.15</v>
      </c>
      <c r="L528" s="29">
        <f>VLOOKUP(C528,Products!$A$2:$H$16,8,FALSE)</f>
        <v>287.5</v>
      </c>
      <c r="M528" s="41">
        <f t="shared" si="24"/>
        <v>12</v>
      </c>
      <c r="N528" s="43">
        <f t="shared" si="25"/>
        <v>1437.5</v>
      </c>
      <c r="O528" s="43">
        <f t="shared" si="26"/>
        <v>1250</v>
      </c>
    </row>
    <row r="529" spans="1:15" x14ac:dyDescent="0.25">
      <c r="A529" s="31">
        <v>41612</v>
      </c>
      <c r="B529" t="s">
        <v>42</v>
      </c>
      <c r="C529" s="30">
        <v>12</v>
      </c>
      <c r="D529" s="30" t="s">
        <v>38</v>
      </c>
      <c r="E529" s="30">
        <v>16</v>
      </c>
      <c r="F529" t="str">
        <f>VLOOKUP(C529,Products!$A$2:$H$16,2,FALSE)</f>
        <v>The Story of my Experiments with Truth</v>
      </c>
      <c r="G529" t="str">
        <f>VLOOKUP(C529,Products!$A$2:$H$16,3,FALSE)</f>
        <v>Mahatma Gandhi</v>
      </c>
      <c r="H529" t="str">
        <f>VLOOKUP(C529,Products!$A$2:$H$16,4,FALSE)</f>
        <v>e-book</v>
      </c>
      <c r="I529">
        <f>VLOOKUP(C529,Products!$A$2:$H$16,5,FALSE)</f>
        <v>2004</v>
      </c>
      <c r="J529" s="29">
        <f>VLOOKUP(C529,Products!$A$2:$H$16,6,FALSE)</f>
        <v>50</v>
      </c>
      <c r="K529" s="32">
        <f>VLOOKUP(C529,Products!$A$2:$H$16,7,FALSE)</f>
        <v>0.3</v>
      </c>
      <c r="L529" s="29">
        <f>VLOOKUP(C529,Products!$A$2:$H$16,8,FALSE)</f>
        <v>65</v>
      </c>
      <c r="M529" s="41">
        <f t="shared" si="24"/>
        <v>12</v>
      </c>
      <c r="N529" s="43">
        <f t="shared" si="25"/>
        <v>1040</v>
      </c>
      <c r="O529" s="43">
        <f t="shared" si="26"/>
        <v>800</v>
      </c>
    </row>
    <row r="530" spans="1:15" x14ac:dyDescent="0.25">
      <c r="A530" s="31">
        <v>41612</v>
      </c>
      <c r="B530" t="s">
        <v>33</v>
      </c>
      <c r="C530" s="30">
        <v>12</v>
      </c>
      <c r="D530" s="30" t="s">
        <v>34</v>
      </c>
      <c r="E530" s="30">
        <v>18</v>
      </c>
      <c r="F530" t="str">
        <f>VLOOKUP(C530,Products!$A$2:$H$16,2,FALSE)</f>
        <v>The Story of my Experiments with Truth</v>
      </c>
      <c r="G530" t="str">
        <f>VLOOKUP(C530,Products!$A$2:$H$16,3,FALSE)</f>
        <v>Mahatma Gandhi</v>
      </c>
      <c r="H530" t="str">
        <f>VLOOKUP(C530,Products!$A$2:$H$16,4,FALSE)</f>
        <v>e-book</v>
      </c>
      <c r="I530">
        <f>VLOOKUP(C530,Products!$A$2:$H$16,5,FALSE)</f>
        <v>2004</v>
      </c>
      <c r="J530" s="29">
        <f>VLOOKUP(C530,Products!$A$2:$H$16,6,FALSE)</f>
        <v>50</v>
      </c>
      <c r="K530" s="32">
        <f>VLOOKUP(C530,Products!$A$2:$H$16,7,FALSE)</f>
        <v>0.3</v>
      </c>
      <c r="L530" s="29">
        <f>VLOOKUP(C530,Products!$A$2:$H$16,8,FALSE)</f>
        <v>65</v>
      </c>
      <c r="M530" s="41">
        <f t="shared" si="24"/>
        <v>12</v>
      </c>
      <c r="N530" s="43">
        <f t="shared" si="25"/>
        <v>1170</v>
      </c>
      <c r="O530" s="43">
        <f t="shared" si="26"/>
        <v>900</v>
      </c>
    </row>
    <row r="531" spans="1:15" x14ac:dyDescent="0.25">
      <c r="A531" s="31">
        <v>41612</v>
      </c>
      <c r="B531" t="s">
        <v>35</v>
      </c>
      <c r="C531" s="30">
        <v>4</v>
      </c>
      <c r="D531" s="30" t="s">
        <v>34</v>
      </c>
      <c r="E531" s="30">
        <v>11</v>
      </c>
      <c r="F531" t="str">
        <f>VLOOKUP(C531,Products!$A$2:$H$16,2,FALSE)</f>
        <v>A Guide to Health</v>
      </c>
      <c r="G531" t="str">
        <f>VLOOKUP(C531,Products!$A$2:$H$16,3,FALSE)</f>
        <v>Mahatma Gandhi</v>
      </c>
      <c r="H531" t="str">
        <f>VLOOKUP(C531,Products!$A$2:$H$16,4,FALSE)</f>
        <v>Hard Cover</v>
      </c>
      <c r="I531">
        <f>VLOOKUP(C531,Products!$A$2:$H$16,5,FALSE)</f>
        <v>1921</v>
      </c>
      <c r="J531" s="29">
        <f>VLOOKUP(C531,Products!$A$2:$H$16,6,FALSE)</f>
        <v>250</v>
      </c>
      <c r="K531" s="32">
        <f>VLOOKUP(C531,Products!$A$2:$H$16,7,FALSE)</f>
        <v>0.15</v>
      </c>
      <c r="L531" s="29">
        <f>VLOOKUP(C531,Products!$A$2:$H$16,8,FALSE)</f>
        <v>287.5</v>
      </c>
      <c r="M531" s="41">
        <f t="shared" si="24"/>
        <v>12</v>
      </c>
      <c r="N531" s="43">
        <f t="shared" si="25"/>
        <v>3162.5</v>
      </c>
      <c r="O531" s="43">
        <f t="shared" si="26"/>
        <v>2750</v>
      </c>
    </row>
    <row r="532" spans="1:15" x14ac:dyDescent="0.25">
      <c r="A532" s="31">
        <v>41612</v>
      </c>
      <c r="B532" t="s">
        <v>39</v>
      </c>
      <c r="C532" s="30">
        <v>11</v>
      </c>
      <c r="D532" s="30" t="s">
        <v>38</v>
      </c>
      <c r="E532" s="30">
        <v>4</v>
      </c>
      <c r="F532" t="str">
        <f>VLOOKUP(C532,Products!$A$2:$H$16,2,FALSE)</f>
        <v>The Discovery of India</v>
      </c>
      <c r="G532" t="str">
        <f>VLOOKUP(C532,Products!$A$2:$H$16,3,FALSE)</f>
        <v>Jawaharlal Nehru</v>
      </c>
      <c r="H532" t="str">
        <f>VLOOKUP(C532,Products!$A$2:$H$16,4,FALSE)</f>
        <v>e-book</v>
      </c>
      <c r="I532">
        <f>VLOOKUP(C532,Products!$A$2:$H$16,5,FALSE)</f>
        <v>2004</v>
      </c>
      <c r="J532" s="29">
        <f>VLOOKUP(C532,Products!$A$2:$H$16,6,FALSE)</f>
        <v>250</v>
      </c>
      <c r="K532" s="32">
        <f>VLOOKUP(C532,Products!$A$2:$H$16,7,FALSE)</f>
        <v>0.3</v>
      </c>
      <c r="L532" s="29">
        <f>VLOOKUP(C532,Products!$A$2:$H$16,8,FALSE)</f>
        <v>325</v>
      </c>
      <c r="M532" s="41">
        <f t="shared" si="24"/>
        <v>12</v>
      </c>
      <c r="N532" s="43">
        <f t="shared" si="25"/>
        <v>1300</v>
      </c>
      <c r="O532" s="43">
        <f t="shared" si="26"/>
        <v>1000</v>
      </c>
    </row>
    <row r="533" spans="1:15" x14ac:dyDescent="0.25">
      <c r="A533" s="31">
        <v>41613</v>
      </c>
      <c r="B533" t="s">
        <v>37</v>
      </c>
      <c r="C533" s="30">
        <v>12</v>
      </c>
      <c r="D533" s="30" t="s">
        <v>34</v>
      </c>
      <c r="E533" s="30">
        <v>4</v>
      </c>
      <c r="F533" t="str">
        <f>VLOOKUP(C533,Products!$A$2:$H$16,2,FALSE)</f>
        <v>The Story of my Experiments with Truth</v>
      </c>
      <c r="G533" t="str">
        <f>VLOOKUP(C533,Products!$A$2:$H$16,3,FALSE)</f>
        <v>Mahatma Gandhi</v>
      </c>
      <c r="H533" t="str">
        <f>VLOOKUP(C533,Products!$A$2:$H$16,4,FALSE)</f>
        <v>e-book</v>
      </c>
      <c r="I533">
        <f>VLOOKUP(C533,Products!$A$2:$H$16,5,FALSE)</f>
        <v>2004</v>
      </c>
      <c r="J533" s="29">
        <f>VLOOKUP(C533,Products!$A$2:$H$16,6,FALSE)</f>
        <v>50</v>
      </c>
      <c r="K533" s="32">
        <f>VLOOKUP(C533,Products!$A$2:$H$16,7,FALSE)</f>
        <v>0.3</v>
      </c>
      <c r="L533" s="29">
        <f>VLOOKUP(C533,Products!$A$2:$H$16,8,FALSE)</f>
        <v>65</v>
      </c>
      <c r="M533" s="41">
        <f t="shared" si="24"/>
        <v>12</v>
      </c>
      <c r="N533" s="43">
        <f t="shared" si="25"/>
        <v>260</v>
      </c>
      <c r="O533" s="43">
        <f t="shared" si="26"/>
        <v>200</v>
      </c>
    </row>
    <row r="534" spans="1:15" x14ac:dyDescent="0.25">
      <c r="A534" s="31">
        <v>41613</v>
      </c>
      <c r="B534" t="s">
        <v>37</v>
      </c>
      <c r="C534" s="30">
        <v>9</v>
      </c>
      <c r="D534" s="30" t="s">
        <v>38</v>
      </c>
      <c r="E534" s="30">
        <v>10</v>
      </c>
      <c r="F534" t="str">
        <f>VLOOKUP(C534,Products!$A$2:$H$16,2,FALSE)</f>
        <v>A Guide to Health</v>
      </c>
      <c r="G534" t="str">
        <f>VLOOKUP(C534,Products!$A$2:$H$16,3,FALSE)</f>
        <v>Mahatma Gandhi</v>
      </c>
      <c r="H534" t="str">
        <f>VLOOKUP(C534,Products!$A$2:$H$16,4,FALSE)</f>
        <v>Soft Cover</v>
      </c>
      <c r="I534">
        <f>VLOOKUP(C534,Products!$A$2:$H$16,5,FALSE)</f>
        <v>1921</v>
      </c>
      <c r="J534" s="29">
        <f>VLOOKUP(C534,Products!$A$2:$H$16,6,FALSE)</f>
        <v>220</v>
      </c>
      <c r="K534" s="32">
        <f>VLOOKUP(C534,Products!$A$2:$H$16,7,FALSE)</f>
        <v>0.15</v>
      </c>
      <c r="L534" s="29">
        <f>VLOOKUP(C534,Products!$A$2:$H$16,8,FALSE)</f>
        <v>253</v>
      </c>
      <c r="M534" s="41">
        <f t="shared" si="24"/>
        <v>12</v>
      </c>
      <c r="N534" s="43">
        <f t="shared" si="25"/>
        <v>2530</v>
      </c>
      <c r="O534" s="43">
        <f t="shared" si="26"/>
        <v>2200</v>
      </c>
    </row>
    <row r="535" spans="1:15" x14ac:dyDescent="0.25">
      <c r="A535" s="31">
        <v>41616</v>
      </c>
      <c r="B535" t="s">
        <v>35</v>
      </c>
      <c r="C535" s="30">
        <v>11</v>
      </c>
      <c r="D535" s="30" t="s">
        <v>38</v>
      </c>
      <c r="E535" s="30">
        <v>5</v>
      </c>
      <c r="F535" t="str">
        <f>VLOOKUP(C535,Products!$A$2:$H$16,2,FALSE)</f>
        <v>The Discovery of India</v>
      </c>
      <c r="G535" t="str">
        <f>VLOOKUP(C535,Products!$A$2:$H$16,3,FALSE)</f>
        <v>Jawaharlal Nehru</v>
      </c>
      <c r="H535" t="str">
        <f>VLOOKUP(C535,Products!$A$2:$H$16,4,FALSE)</f>
        <v>e-book</v>
      </c>
      <c r="I535">
        <f>VLOOKUP(C535,Products!$A$2:$H$16,5,FALSE)</f>
        <v>2004</v>
      </c>
      <c r="J535" s="29">
        <f>VLOOKUP(C535,Products!$A$2:$H$16,6,FALSE)</f>
        <v>250</v>
      </c>
      <c r="K535" s="32">
        <f>VLOOKUP(C535,Products!$A$2:$H$16,7,FALSE)</f>
        <v>0.3</v>
      </c>
      <c r="L535" s="29">
        <f>VLOOKUP(C535,Products!$A$2:$H$16,8,FALSE)</f>
        <v>325</v>
      </c>
      <c r="M535" s="41">
        <f t="shared" si="24"/>
        <v>12</v>
      </c>
      <c r="N535" s="43">
        <f t="shared" si="25"/>
        <v>1625</v>
      </c>
      <c r="O535" s="43">
        <f t="shared" si="26"/>
        <v>1250</v>
      </c>
    </row>
    <row r="536" spans="1:15" x14ac:dyDescent="0.25">
      <c r="A536" s="31">
        <v>41616</v>
      </c>
      <c r="B536" t="s">
        <v>40</v>
      </c>
      <c r="C536" s="30">
        <v>9</v>
      </c>
      <c r="D536" s="30" t="s">
        <v>38</v>
      </c>
      <c r="E536" s="30">
        <v>19</v>
      </c>
      <c r="F536" t="str">
        <f>VLOOKUP(C536,Products!$A$2:$H$16,2,FALSE)</f>
        <v>A Guide to Health</v>
      </c>
      <c r="G536" t="str">
        <f>VLOOKUP(C536,Products!$A$2:$H$16,3,FALSE)</f>
        <v>Mahatma Gandhi</v>
      </c>
      <c r="H536" t="str">
        <f>VLOOKUP(C536,Products!$A$2:$H$16,4,FALSE)</f>
        <v>Soft Cover</v>
      </c>
      <c r="I536">
        <f>VLOOKUP(C536,Products!$A$2:$H$16,5,FALSE)</f>
        <v>1921</v>
      </c>
      <c r="J536" s="29">
        <f>VLOOKUP(C536,Products!$A$2:$H$16,6,FALSE)</f>
        <v>220</v>
      </c>
      <c r="K536" s="32">
        <f>VLOOKUP(C536,Products!$A$2:$H$16,7,FALSE)</f>
        <v>0.15</v>
      </c>
      <c r="L536" s="29">
        <f>VLOOKUP(C536,Products!$A$2:$H$16,8,FALSE)</f>
        <v>253</v>
      </c>
      <c r="M536" s="41">
        <f t="shared" si="24"/>
        <v>12</v>
      </c>
      <c r="N536" s="43">
        <f t="shared" si="25"/>
        <v>4807</v>
      </c>
      <c r="O536" s="43">
        <f t="shared" si="26"/>
        <v>4180</v>
      </c>
    </row>
    <row r="537" spans="1:15" x14ac:dyDescent="0.25">
      <c r="A537" s="31">
        <v>41619</v>
      </c>
      <c r="B537" t="s">
        <v>42</v>
      </c>
      <c r="C537" s="30">
        <v>2</v>
      </c>
      <c r="D537" s="30" t="s">
        <v>34</v>
      </c>
      <c r="E537" s="30">
        <v>7</v>
      </c>
      <c r="F537" t="str">
        <f>VLOOKUP(C537,Products!$A$2:$H$16,2,FALSE)</f>
        <v>The Story of my Experiments with Truth</v>
      </c>
      <c r="G537" t="str">
        <f>VLOOKUP(C537,Products!$A$2:$H$16,3,FALSE)</f>
        <v>Mahatma Gandhi</v>
      </c>
      <c r="H537" t="str">
        <f>VLOOKUP(C537,Products!$A$2:$H$16,4,FALSE)</f>
        <v>Hard Cover</v>
      </c>
      <c r="I537">
        <f>VLOOKUP(C537,Products!$A$2:$H$16,5,FALSE)</f>
        <v>1927</v>
      </c>
      <c r="J537" s="29">
        <f>VLOOKUP(C537,Products!$A$2:$H$16,6,FALSE)</f>
        <v>159</v>
      </c>
      <c r="K537" s="32">
        <f>VLOOKUP(C537,Products!$A$2:$H$16,7,FALSE)</f>
        <v>0.3</v>
      </c>
      <c r="L537" s="29">
        <f>VLOOKUP(C537,Products!$A$2:$H$16,8,FALSE)</f>
        <v>206.7</v>
      </c>
      <c r="M537" s="41">
        <f t="shared" si="24"/>
        <v>12</v>
      </c>
      <c r="N537" s="43">
        <f t="shared" si="25"/>
        <v>1446.8999999999999</v>
      </c>
      <c r="O537" s="43">
        <f t="shared" si="26"/>
        <v>1113</v>
      </c>
    </row>
    <row r="538" spans="1:15" x14ac:dyDescent="0.25">
      <c r="A538" s="31">
        <v>41619</v>
      </c>
      <c r="B538" t="s">
        <v>33</v>
      </c>
      <c r="C538" s="30">
        <v>11</v>
      </c>
      <c r="D538" s="30" t="s">
        <v>38</v>
      </c>
      <c r="E538" s="30">
        <v>10</v>
      </c>
      <c r="F538" t="str">
        <f>VLOOKUP(C538,Products!$A$2:$H$16,2,FALSE)</f>
        <v>The Discovery of India</v>
      </c>
      <c r="G538" t="str">
        <f>VLOOKUP(C538,Products!$A$2:$H$16,3,FALSE)</f>
        <v>Jawaharlal Nehru</v>
      </c>
      <c r="H538" t="str">
        <f>VLOOKUP(C538,Products!$A$2:$H$16,4,FALSE)</f>
        <v>e-book</v>
      </c>
      <c r="I538">
        <f>VLOOKUP(C538,Products!$A$2:$H$16,5,FALSE)</f>
        <v>2004</v>
      </c>
      <c r="J538" s="29">
        <f>VLOOKUP(C538,Products!$A$2:$H$16,6,FALSE)</f>
        <v>250</v>
      </c>
      <c r="K538" s="32">
        <f>VLOOKUP(C538,Products!$A$2:$H$16,7,FALSE)</f>
        <v>0.3</v>
      </c>
      <c r="L538" s="29">
        <f>VLOOKUP(C538,Products!$A$2:$H$16,8,FALSE)</f>
        <v>325</v>
      </c>
      <c r="M538" s="41">
        <f t="shared" si="24"/>
        <v>12</v>
      </c>
      <c r="N538" s="43">
        <f t="shared" si="25"/>
        <v>3250</v>
      </c>
      <c r="O538" s="43">
        <f t="shared" si="26"/>
        <v>2500</v>
      </c>
    </row>
    <row r="539" spans="1:15" x14ac:dyDescent="0.25">
      <c r="A539" s="31">
        <v>41619</v>
      </c>
      <c r="B539" t="s">
        <v>35</v>
      </c>
      <c r="C539" s="30">
        <v>11</v>
      </c>
      <c r="D539" s="30" t="s">
        <v>34</v>
      </c>
      <c r="E539" s="30">
        <v>9</v>
      </c>
      <c r="F539" t="str">
        <f>VLOOKUP(C539,Products!$A$2:$H$16,2,FALSE)</f>
        <v>The Discovery of India</v>
      </c>
      <c r="G539" t="str">
        <f>VLOOKUP(C539,Products!$A$2:$H$16,3,FALSE)</f>
        <v>Jawaharlal Nehru</v>
      </c>
      <c r="H539" t="str">
        <f>VLOOKUP(C539,Products!$A$2:$H$16,4,FALSE)</f>
        <v>e-book</v>
      </c>
      <c r="I539">
        <f>VLOOKUP(C539,Products!$A$2:$H$16,5,FALSE)</f>
        <v>2004</v>
      </c>
      <c r="J539" s="29">
        <f>VLOOKUP(C539,Products!$A$2:$H$16,6,FALSE)</f>
        <v>250</v>
      </c>
      <c r="K539" s="32">
        <f>VLOOKUP(C539,Products!$A$2:$H$16,7,FALSE)</f>
        <v>0.3</v>
      </c>
      <c r="L539" s="29">
        <f>VLOOKUP(C539,Products!$A$2:$H$16,8,FALSE)</f>
        <v>325</v>
      </c>
      <c r="M539" s="41">
        <f t="shared" si="24"/>
        <v>12</v>
      </c>
      <c r="N539" s="43">
        <f t="shared" si="25"/>
        <v>2925</v>
      </c>
      <c r="O539" s="43">
        <f t="shared" si="26"/>
        <v>2250</v>
      </c>
    </row>
    <row r="540" spans="1:15" x14ac:dyDescent="0.25">
      <c r="A540" s="31">
        <v>41621</v>
      </c>
      <c r="B540" t="s">
        <v>35</v>
      </c>
      <c r="C540" s="30">
        <v>2</v>
      </c>
      <c r="D540" s="30" t="s">
        <v>34</v>
      </c>
      <c r="E540" s="30">
        <v>17</v>
      </c>
      <c r="F540" t="str">
        <f>VLOOKUP(C540,Products!$A$2:$H$16,2,FALSE)</f>
        <v>The Story of my Experiments with Truth</v>
      </c>
      <c r="G540" t="str">
        <f>VLOOKUP(C540,Products!$A$2:$H$16,3,FALSE)</f>
        <v>Mahatma Gandhi</v>
      </c>
      <c r="H540" t="str">
        <f>VLOOKUP(C540,Products!$A$2:$H$16,4,FALSE)</f>
        <v>Hard Cover</v>
      </c>
      <c r="I540">
        <f>VLOOKUP(C540,Products!$A$2:$H$16,5,FALSE)</f>
        <v>1927</v>
      </c>
      <c r="J540" s="29">
        <f>VLOOKUP(C540,Products!$A$2:$H$16,6,FALSE)</f>
        <v>159</v>
      </c>
      <c r="K540" s="32">
        <f>VLOOKUP(C540,Products!$A$2:$H$16,7,FALSE)</f>
        <v>0.3</v>
      </c>
      <c r="L540" s="29">
        <f>VLOOKUP(C540,Products!$A$2:$H$16,8,FALSE)</f>
        <v>206.7</v>
      </c>
      <c r="M540" s="41">
        <f t="shared" si="24"/>
        <v>12</v>
      </c>
      <c r="N540" s="43">
        <f t="shared" si="25"/>
        <v>3513.8999999999996</v>
      </c>
      <c r="O540" s="43">
        <f t="shared" si="26"/>
        <v>2703</v>
      </c>
    </row>
    <row r="541" spans="1:15" x14ac:dyDescent="0.25">
      <c r="A541" s="31">
        <v>41621</v>
      </c>
      <c r="B541" t="s">
        <v>33</v>
      </c>
      <c r="C541" s="30">
        <v>13</v>
      </c>
      <c r="D541" s="30" t="s">
        <v>34</v>
      </c>
      <c r="E541" s="30">
        <v>20</v>
      </c>
      <c r="F541" t="str">
        <f>VLOOKUP(C541,Products!$A$2:$H$16,2,FALSE)</f>
        <v>Glimpses of World History</v>
      </c>
      <c r="G541" t="str">
        <f>VLOOKUP(C541,Products!$A$2:$H$16,3,FALSE)</f>
        <v>Jawaharlal Nehru</v>
      </c>
      <c r="H541" t="str">
        <f>VLOOKUP(C541,Products!$A$2:$H$16,4,FALSE)</f>
        <v>e-book</v>
      </c>
      <c r="I541">
        <f>VLOOKUP(C541,Products!$A$2:$H$16,5,FALSE)</f>
        <v>2005</v>
      </c>
      <c r="J541" s="29">
        <f>VLOOKUP(C541,Products!$A$2:$H$16,6,FALSE)</f>
        <v>300</v>
      </c>
      <c r="K541" s="32">
        <f>VLOOKUP(C541,Products!$A$2:$H$16,7,FALSE)</f>
        <v>0.2</v>
      </c>
      <c r="L541" s="29">
        <f>VLOOKUP(C541,Products!$A$2:$H$16,8,FALSE)</f>
        <v>360</v>
      </c>
      <c r="M541" s="41">
        <f t="shared" si="24"/>
        <v>12</v>
      </c>
      <c r="N541" s="43">
        <f t="shared" si="25"/>
        <v>7200</v>
      </c>
      <c r="O541" s="43">
        <f t="shared" si="26"/>
        <v>6000</v>
      </c>
    </row>
    <row r="542" spans="1:15" x14ac:dyDescent="0.25">
      <c r="A542" s="31">
        <v>41622</v>
      </c>
      <c r="B542" t="s">
        <v>42</v>
      </c>
      <c r="C542" s="30">
        <v>11</v>
      </c>
      <c r="D542" s="30" t="s">
        <v>38</v>
      </c>
      <c r="E542" s="30">
        <v>11</v>
      </c>
      <c r="F542" t="str">
        <f>VLOOKUP(C542,Products!$A$2:$H$16,2,FALSE)</f>
        <v>The Discovery of India</v>
      </c>
      <c r="G542" t="str">
        <f>VLOOKUP(C542,Products!$A$2:$H$16,3,FALSE)</f>
        <v>Jawaharlal Nehru</v>
      </c>
      <c r="H542" t="str">
        <f>VLOOKUP(C542,Products!$A$2:$H$16,4,FALSE)</f>
        <v>e-book</v>
      </c>
      <c r="I542">
        <f>VLOOKUP(C542,Products!$A$2:$H$16,5,FALSE)</f>
        <v>2004</v>
      </c>
      <c r="J542" s="29">
        <f>VLOOKUP(C542,Products!$A$2:$H$16,6,FALSE)</f>
        <v>250</v>
      </c>
      <c r="K542" s="32">
        <f>VLOOKUP(C542,Products!$A$2:$H$16,7,FALSE)</f>
        <v>0.3</v>
      </c>
      <c r="L542" s="29">
        <f>VLOOKUP(C542,Products!$A$2:$H$16,8,FALSE)</f>
        <v>325</v>
      </c>
      <c r="M542" s="41">
        <f t="shared" si="24"/>
        <v>12</v>
      </c>
      <c r="N542" s="43">
        <f t="shared" si="25"/>
        <v>3575</v>
      </c>
      <c r="O542" s="43">
        <f t="shared" si="26"/>
        <v>2750</v>
      </c>
    </row>
    <row r="543" spans="1:15" x14ac:dyDescent="0.25">
      <c r="A543" s="31">
        <v>41622</v>
      </c>
      <c r="B543" t="s">
        <v>39</v>
      </c>
      <c r="C543" s="30">
        <v>8</v>
      </c>
      <c r="D543" s="30" t="s">
        <v>38</v>
      </c>
      <c r="E543" s="30">
        <v>6</v>
      </c>
      <c r="F543" t="str">
        <f>VLOOKUP(C543,Products!$A$2:$H$16,2,FALSE)</f>
        <v>Glimpses of World History</v>
      </c>
      <c r="G543" t="str">
        <f>VLOOKUP(C543,Products!$A$2:$H$16,3,FALSE)</f>
        <v>Jawaharlal Nehru</v>
      </c>
      <c r="H543" t="str">
        <f>VLOOKUP(C543,Products!$A$2:$H$16,4,FALSE)</f>
        <v>Soft Cover</v>
      </c>
      <c r="I543">
        <f>VLOOKUP(C543,Products!$A$2:$H$16,5,FALSE)</f>
        <v>1934</v>
      </c>
      <c r="J543" s="29">
        <f>VLOOKUP(C543,Products!$A$2:$H$16,6,FALSE)</f>
        <v>650</v>
      </c>
      <c r="K543" s="32">
        <f>VLOOKUP(C543,Products!$A$2:$H$16,7,FALSE)</f>
        <v>0.2</v>
      </c>
      <c r="L543" s="29">
        <f>VLOOKUP(C543,Products!$A$2:$H$16,8,FALSE)</f>
        <v>780</v>
      </c>
      <c r="M543" s="41">
        <f t="shared" si="24"/>
        <v>12</v>
      </c>
      <c r="N543" s="43">
        <f t="shared" si="25"/>
        <v>4680</v>
      </c>
      <c r="O543" s="43">
        <f t="shared" si="26"/>
        <v>3900</v>
      </c>
    </row>
    <row r="544" spans="1:15" x14ac:dyDescent="0.25">
      <c r="A544" s="31">
        <v>41623</v>
      </c>
      <c r="B544" t="s">
        <v>36</v>
      </c>
      <c r="C544" s="30">
        <v>2</v>
      </c>
      <c r="D544" s="30" t="s">
        <v>38</v>
      </c>
      <c r="E544" s="30">
        <v>16</v>
      </c>
      <c r="F544" t="str">
        <f>VLOOKUP(C544,Products!$A$2:$H$16,2,FALSE)</f>
        <v>The Story of my Experiments with Truth</v>
      </c>
      <c r="G544" t="str">
        <f>VLOOKUP(C544,Products!$A$2:$H$16,3,FALSE)</f>
        <v>Mahatma Gandhi</v>
      </c>
      <c r="H544" t="str">
        <f>VLOOKUP(C544,Products!$A$2:$H$16,4,FALSE)</f>
        <v>Hard Cover</v>
      </c>
      <c r="I544">
        <f>VLOOKUP(C544,Products!$A$2:$H$16,5,FALSE)</f>
        <v>1927</v>
      </c>
      <c r="J544" s="29">
        <f>VLOOKUP(C544,Products!$A$2:$H$16,6,FALSE)</f>
        <v>159</v>
      </c>
      <c r="K544" s="32">
        <f>VLOOKUP(C544,Products!$A$2:$H$16,7,FALSE)</f>
        <v>0.3</v>
      </c>
      <c r="L544" s="29">
        <f>VLOOKUP(C544,Products!$A$2:$H$16,8,FALSE)</f>
        <v>206.7</v>
      </c>
      <c r="M544" s="41">
        <f t="shared" si="24"/>
        <v>12</v>
      </c>
      <c r="N544" s="43">
        <f t="shared" si="25"/>
        <v>3307.2</v>
      </c>
      <c r="O544" s="43">
        <f t="shared" si="26"/>
        <v>2544</v>
      </c>
    </row>
    <row r="545" spans="1:15" x14ac:dyDescent="0.25">
      <c r="A545" s="31">
        <v>41624</v>
      </c>
      <c r="B545" t="s">
        <v>39</v>
      </c>
      <c r="C545" s="30">
        <v>4</v>
      </c>
      <c r="D545" s="30" t="s">
        <v>38</v>
      </c>
      <c r="E545" s="30">
        <v>2</v>
      </c>
      <c r="F545" t="str">
        <f>VLOOKUP(C545,Products!$A$2:$H$16,2,FALSE)</f>
        <v>A Guide to Health</v>
      </c>
      <c r="G545" t="str">
        <f>VLOOKUP(C545,Products!$A$2:$H$16,3,FALSE)</f>
        <v>Mahatma Gandhi</v>
      </c>
      <c r="H545" t="str">
        <f>VLOOKUP(C545,Products!$A$2:$H$16,4,FALSE)</f>
        <v>Hard Cover</v>
      </c>
      <c r="I545">
        <f>VLOOKUP(C545,Products!$A$2:$H$16,5,FALSE)</f>
        <v>1921</v>
      </c>
      <c r="J545" s="29">
        <f>VLOOKUP(C545,Products!$A$2:$H$16,6,FALSE)</f>
        <v>250</v>
      </c>
      <c r="K545" s="32">
        <f>VLOOKUP(C545,Products!$A$2:$H$16,7,FALSE)</f>
        <v>0.15</v>
      </c>
      <c r="L545" s="29">
        <f>VLOOKUP(C545,Products!$A$2:$H$16,8,FALSE)</f>
        <v>287.5</v>
      </c>
      <c r="M545" s="41">
        <f t="shared" si="24"/>
        <v>12</v>
      </c>
      <c r="N545" s="43">
        <f t="shared" si="25"/>
        <v>575</v>
      </c>
      <c r="O545" s="43">
        <f t="shared" si="26"/>
        <v>500</v>
      </c>
    </row>
    <row r="546" spans="1:15" x14ac:dyDescent="0.25">
      <c r="A546" s="31">
        <v>41625</v>
      </c>
      <c r="B546" t="s">
        <v>41</v>
      </c>
      <c r="C546" s="30">
        <v>8</v>
      </c>
      <c r="D546" s="30" t="s">
        <v>38</v>
      </c>
      <c r="E546" s="30">
        <v>9</v>
      </c>
      <c r="F546" t="str">
        <f>VLOOKUP(C546,Products!$A$2:$H$16,2,FALSE)</f>
        <v>Glimpses of World History</v>
      </c>
      <c r="G546" t="str">
        <f>VLOOKUP(C546,Products!$A$2:$H$16,3,FALSE)</f>
        <v>Jawaharlal Nehru</v>
      </c>
      <c r="H546" t="str">
        <f>VLOOKUP(C546,Products!$A$2:$H$16,4,FALSE)</f>
        <v>Soft Cover</v>
      </c>
      <c r="I546">
        <f>VLOOKUP(C546,Products!$A$2:$H$16,5,FALSE)</f>
        <v>1934</v>
      </c>
      <c r="J546" s="29">
        <f>VLOOKUP(C546,Products!$A$2:$H$16,6,FALSE)</f>
        <v>650</v>
      </c>
      <c r="K546" s="32">
        <f>VLOOKUP(C546,Products!$A$2:$H$16,7,FALSE)</f>
        <v>0.2</v>
      </c>
      <c r="L546" s="29">
        <f>VLOOKUP(C546,Products!$A$2:$H$16,8,FALSE)</f>
        <v>780</v>
      </c>
      <c r="M546" s="41">
        <f t="shared" si="24"/>
        <v>12</v>
      </c>
      <c r="N546" s="43">
        <f t="shared" si="25"/>
        <v>7020</v>
      </c>
      <c r="O546" s="43">
        <f t="shared" si="26"/>
        <v>5850</v>
      </c>
    </row>
    <row r="547" spans="1:15" x14ac:dyDescent="0.25">
      <c r="A547" s="31">
        <v>41625</v>
      </c>
      <c r="B547" t="s">
        <v>40</v>
      </c>
      <c r="C547" s="30">
        <v>9</v>
      </c>
      <c r="D547" s="30" t="s">
        <v>38</v>
      </c>
      <c r="E547" s="30">
        <v>11</v>
      </c>
      <c r="F547" t="str">
        <f>VLOOKUP(C547,Products!$A$2:$H$16,2,FALSE)</f>
        <v>A Guide to Health</v>
      </c>
      <c r="G547" t="str">
        <f>VLOOKUP(C547,Products!$A$2:$H$16,3,FALSE)</f>
        <v>Mahatma Gandhi</v>
      </c>
      <c r="H547" t="str">
        <f>VLOOKUP(C547,Products!$A$2:$H$16,4,FALSE)</f>
        <v>Soft Cover</v>
      </c>
      <c r="I547">
        <f>VLOOKUP(C547,Products!$A$2:$H$16,5,FALSE)</f>
        <v>1921</v>
      </c>
      <c r="J547" s="29">
        <f>VLOOKUP(C547,Products!$A$2:$H$16,6,FALSE)</f>
        <v>220</v>
      </c>
      <c r="K547" s="32">
        <f>VLOOKUP(C547,Products!$A$2:$H$16,7,FALSE)</f>
        <v>0.15</v>
      </c>
      <c r="L547" s="29">
        <f>VLOOKUP(C547,Products!$A$2:$H$16,8,FALSE)</f>
        <v>253</v>
      </c>
      <c r="M547" s="41">
        <f t="shared" si="24"/>
        <v>12</v>
      </c>
      <c r="N547" s="43">
        <f t="shared" si="25"/>
        <v>2783</v>
      </c>
      <c r="O547" s="43">
        <f t="shared" si="26"/>
        <v>2420</v>
      </c>
    </row>
    <row r="548" spans="1:15" x14ac:dyDescent="0.25">
      <c r="A548" s="31">
        <v>41625</v>
      </c>
      <c r="B548" t="s">
        <v>42</v>
      </c>
      <c r="C548" s="30">
        <v>5</v>
      </c>
      <c r="D548" s="30" t="s">
        <v>38</v>
      </c>
      <c r="E548" s="30">
        <v>18</v>
      </c>
      <c r="F548" t="str">
        <f>VLOOKUP(C548,Products!$A$2:$H$16,2,FALSE)</f>
        <v>Wings of Fire</v>
      </c>
      <c r="G548" t="str">
        <f>VLOOKUP(C548,Products!$A$2:$H$16,3,FALSE)</f>
        <v>APJ Abdul Kalam,
Arun Tiwari</v>
      </c>
      <c r="H548" t="str">
        <f>VLOOKUP(C548,Products!$A$2:$H$16,4,FALSE)</f>
        <v>Hard Cover</v>
      </c>
      <c r="I548">
        <f>VLOOKUP(C548,Products!$A$2:$H$16,5,FALSE)</f>
        <v>1999</v>
      </c>
      <c r="J548" s="29">
        <f>VLOOKUP(C548,Products!$A$2:$H$16,6,FALSE)</f>
        <v>1275.2488000000001</v>
      </c>
      <c r="K548" s="32">
        <f>VLOOKUP(C548,Products!$A$2:$H$16,7,FALSE)</f>
        <v>0.1</v>
      </c>
      <c r="L548" s="29">
        <f>VLOOKUP(C548,Products!$A$2:$H$16,8,FALSE)</f>
        <v>1402.77368</v>
      </c>
      <c r="M548" s="41">
        <f t="shared" si="24"/>
        <v>12</v>
      </c>
      <c r="N548" s="43">
        <f t="shared" si="25"/>
        <v>25249.926240000001</v>
      </c>
      <c r="O548" s="43">
        <f t="shared" si="26"/>
        <v>22954.4784</v>
      </c>
    </row>
    <row r="549" spans="1:15" x14ac:dyDescent="0.25">
      <c r="A549" s="31">
        <v>41626</v>
      </c>
      <c r="B549" t="s">
        <v>37</v>
      </c>
      <c r="C549" s="30">
        <v>3</v>
      </c>
      <c r="D549" s="30" t="s">
        <v>34</v>
      </c>
      <c r="E549" s="30">
        <v>18</v>
      </c>
      <c r="F549" t="str">
        <f>VLOOKUP(C549,Products!$A$2:$H$16,2,FALSE)</f>
        <v>Glimpses of World History</v>
      </c>
      <c r="G549" t="str">
        <f>VLOOKUP(C549,Products!$A$2:$H$16,3,FALSE)</f>
        <v>Jawaharlal Nehru</v>
      </c>
      <c r="H549" t="str">
        <f>VLOOKUP(C549,Products!$A$2:$H$16,4,FALSE)</f>
        <v>Hard Cover</v>
      </c>
      <c r="I549">
        <f>VLOOKUP(C549,Products!$A$2:$H$16,5,FALSE)</f>
        <v>1934</v>
      </c>
      <c r="J549" s="29">
        <f>VLOOKUP(C549,Products!$A$2:$H$16,6,FALSE)</f>
        <v>750.45899999999995</v>
      </c>
      <c r="K549" s="32">
        <f>VLOOKUP(C549,Products!$A$2:$H$16,7,FALSE)</f>
        <v>0.2</v>
      </c>
      <c r="L549" s="29">
        <f>VLOOKUP(C549,Products!$A$2:$H$16,8,FALSE)</f>
        <v>900.55079999999998</v>
      </c>
      <c r="M549" s="41">
        <f t="shared" si="24"/>
        <v>12</v>
      </c>
      <c r="N549" s="43">
        <f t="shared" si="25"/>
        <v>16209.9144</v>
      </c>
      <c r="O549" s="43">
        <f t="shared" si="26"/>
        <v>13508.261999999999</v>
      </c>
    </row>
    <row r="550" spans="1:15" x14ac:dyDescent="0.25">
      <c r="A550" s="31">
        <v>41627</v>
      </c>
      <c r="B550" t="s">
        <v>33</v>
      </c>
      <c r="C550" s="30">
        <v>8</v>
      </c>
      <c r="D550" s="30" t="s">
        <v>38</v>
      </c>
      <c r="E550" s="30">
        <v>5</v>
      </c>
      <c r="F550" t="str">
        <f>VLOOKUP(C550,Products!$A$2:$H$16,2,FALSE)</f>
        <v>Glimpses of World History</v>
      </c>
      <c r="G550" t="str">
        <f>VLOOKUP(C550,Products!$A$2:$H$16,3,FALSE)</f>
        <v>Jawaharlal Nehru</v>
      </c>
      <c r="H550" t="str">
        <f>VLOOKUP(C550,Products!$A$2:$H$16,4,FALSE)</f>
        <v>Soft Cover</v>
      </c>
      <c r="I550">
        <f>VLOOKUP(C550,Products!$A$2:$H$16,5,FALSE)</f>
        <v>1934</v>
      </c>
      <c r="J550" s="29">
        <f>VLOOKUP(C550,Products!$A$2:$H$16,6,FALSE)</f>
        <v>650</v>
      </c>
      <c r="K550" s="32">
        <f>VLOOKUP(C550,Products!$A$2:$H$16,7,FALSE)</f>
        <v>0.2</v>
      </c>
      <c r="L550" s="29">
        <f>VLOOKUP(C550,Products!$A$2:$H$16,8,FALSE)</f>
        <v>780</v>
      </c>
      <c r="M550" s="41">
        <f t="shared" si="24"/>
        <v>12</v>
      </c>
      <c r="N550" s="43">
        <f t="shared" si="25"/>
        <v>3900</v>
      </c>
      <c r="O550" s="43">
        <f t="shared" si="26"/>
        <v>3250</v>
      </c>
    </row>
    <row r="551" spans="1:15" x14ac:dyDescent="0.25">
      <c r="A551" s="31">
        <v>41628</v>
      </c>
      <c r="B551" t="s">
        <v>42</v>
      </c>
      <c r="C551" s="30">
        <v>6</v>
      </c>
      <c r="D551" s="30" t="s">
        <v>38</v>
      </c>
      <c r="E551" s="30">
        <v>15</v>
      </c>
      <c r="F551" t="str">
        <f>VLOOKUP(C551,Products!$A$2:$H$16,2,FALSE)</f>
        <v>The Discovery of India</v>
      </c>
      <c r="G551" t="str">
        <f>VLOOKUP(C551,Products!$A$2:$H$16,3,FALSE)</f>
        <v>Jawaharlal Nehru</v>
      </c>
      <c r="H551" t="str">
        <f>VLOOKUP(C551,Products!$A$2:$H$16,4,FALSE)</f>
        <v>Soft Cover</v>
      </c>
      <c r="I551">
        <f>VLOOKUP(C551,Products!$A$2:$H$16,5,FALSE)</f>
        <v>1946</v>
      </c>
      <c r="J551" s="29">
        <f>VLOOKUP(C551,Products!$A$2:$H$16,6,FALSE)</f>
        <v>499</v>
      </c>
      <c r="K551" s="32">
        <f>VLOOKUP(C551,Products!$A$2:$H$16,7,FALSE)</f>
        <v>0.3</v>
      </c>
      <c r="L551" s="29">
        <f>VLOOKUP(C551,Products!$A$2:$H$16,8,FALSE)</f>
        <v>648.70000000000005</v>
      </c>
      <c r="M551" s="41">
        <f t="shared" si="24"/>
        <v>12</v>
      </c>
      <c r="N551" s="43">
        <f t="shared" si="25"/>
        <v>9730.5</v>
      </c>
      <c r="O551" s="43">
        <f t="shared" si="26"/>
        <v>7485</v>
      </c>
    </row>
    <row r="552" spans="1:15" x14ac:dyDescent="0.25">
      <c r="A552" s="31">
        <v>41628</v>
      </c>
      <c r="B552" t="s">
        <v>42</v>
      </c>
      <c r="C552" s="30">
        <v>15</v>
      </c>
      <c r="D552" s="30" t="s">
        <v>34</v>
      </c>
      <c r="E552" s="30">
        <v>1</v>
      </c>
      <c r="F552" t="str">
        <f>VLOOKUP(C552,Products!$A$2:$H$16,2,FALSE)</f>
        <v>Wings of Fire</v>
      </c>
      <c r="G552" t="str">
        <f>VLOOKUP(C552,Products!$A$2:$H$16,3,FALSE)</f>
        <v>APJ Abdul Kalam,
Arun Tiwari</v>
      </c>
      <c r="H552" t="str">
        <f>VLOOKUP(C552,Products!$A$2:$H$16,4,FALSE)</f>
        <v>e-book</v>
      </c>
      <c r="I552">
        <f>VLOOKUP(C552,Products!$A$2:$H$16,5,FALSE)</f>
        <v>2005</v>
      </c>
      <c r="J552" s="29">
        <f>VLOOKUP(C552,Products!$A$2:$H$16,6,FALSE)</f>
        <v>500</v>
      </c>
      <c r="K552" s="32">
        <f>VLOOKUP(C552,Products!$A$2:$H$16,7,FALSE)</f>
        <v>0.1</v>
      </c>
      <c r="L552" s="29">
        <f>VLOOKUP(C552,Products!$A$2:$H$16,8,FALSE)</f>
        <v>550</v>
      </c>
      <c r="M552" s="41">
        <f t="shared" si="24"/>
        <v>12</v>
      </c>
      <c r="N552" s="43">
        <f t="shared" si="25"/>
        <v>550</v>
      </c>
      <c r="O552" s="43">
        <f t="shared" si="26"/>
        <v>500</v>
      </c>
    </row>
    <row r="553" spans="1:15" x14ac:dyDescent="0.25">
      <c r="A553" s="31">
        <v>41629</v>
      </c>
      <c r="B553" t="s">
        <v>40</v>
      </c>
      <c r="C553" s="30">
        <v>14</v>
      </c>
      <c r="D553" s="30" t="s">
        <v>34</v>
      </c>
      <c r="E553" s="30">
        <v>18</v>
      </c>
      <c r="F553" t="str">
        <f>VLOOKUP(C553,Products!$A$2:$H$16,2,FALSE)</f>
        <v>A Guide to Health</v>
      </c>
      <c r="G553" t="str">
        <f>VLOOKUP(C553,Products!$A$2:$H$16,3,FALSE)</f>
        <v>Mahatma Gandhi</v>
      </c>
      <c r="H553" t="str">
        <f>VLOOKUP(C553,Products!$A$2:$H$16,4,FALSE)</f>
        <v>e-book</v>
      </c>
      <c r="I553">
        <f>VLOOKUP(C553,Products!$A$2:$H$16,5,FALSE)</f>
        <v>2005</v>
      </c>
      <c r="J553" s="29">
        <f>VLOOKUP(C553,Products!$A$2:$H$16,6,FALSE)</f>
        <v>105</v>
      </c>
      <c r="K553" s="32">
        <f>VLOOKUP(C553,Products!$A$2:$H$16,7,FALSE)</f>
        <v>0.15</v>
      </c>
      <c r="L553" s="29">
        <f>VLOOKUP(C553,Products!$A$2:$H$16,8,FALSE)</f>
        <v>120.75</v>
      </c>
      <c r="M553" s="41">
        <f t="shared" si="24"/>
        <v>12</v>
      </c>
      <c r="N553" s="43">
        <f t="shared" si="25"/>
        <v>2173.5</v>
      </c>
      <c r="O553" s="43">
        <f t="shared" si="26"/>
        <v>1890</v>
      </c>
    </row>
    <row r="554" spans="1:15" x14ac:dyDescent="0.25">
      <c r="A554" s="31">
        <v>41629</v>
      </c>
      <c r="B554" t="s">
        <v>35</v>
      </c>
      <c r="C554" s="30">
        <v>10</v>
      </c>
      <c r="D554" s="30" t="s">
        <v>34</v>
      </c>
      <c r="E554" s="30">
        <v>3</v>
      </c>
      <c r="F554" t="str">
        <f>VLOOKUP(C554,Products!$A$2:$H$16,2,FALSE)</f>
        <v>Wings of Fire</v>
      </c>
      <c r="G554" t="str">
        <f>VLOOKUP(C554,Products!$A$2:$H$16,3,FALSE)</f>
        <v>APJ Abdul Kalam,
Arun Tiwari</v>
      </c>
      <c r="H554" t="str">
        <f>VLOOKUP(C554,Products!$A$2:$H$16,4,FALSE)</f>
        <v>Soft Cover</v>
      </c>
      <c r="I554">
        <f>VLOOKUP(C554,Products!$A$2:$H$16,5,FALSE)</f>
        <v>1999</v>
      </c>
      <c r="J554" s="29">
        <f>VLOOKUP(C554,Products!$A$2:$H$16,6,FALSE)</f>
        <v>1200</v>
      </c>
      <c r="K554" s="32">
        <f>VLOOKUP(C554,Products!$A$2:$H$16,7,FALSE)</f>
        <v>0.1</v>
      </c>
      <c r="L554" s="29">
        <f>VLOOKUP(C554,Products!$A$2:$H$16,8,FALSE)</f>
        <v>1320</v>
      </c>
      <c r="M554" s="41">
        <f t="shared" si="24"/>
        <v>12</v>
      </c>
      <c r="N554" s="43">
        <f t="shared" si="25"/>
        <v>3960</v>
      </c>
      <c r="O554" s="43">
        <f t="shared" si="26"/>
        <v>3600</v>
      </c>
    </row>
    <row r="555" spans="1:15" x14ac:dyDescent="0.25">
      <c r="A555" s="31">
        <v>41630</v>
      </c>
      <c r="B555" t="s">
        <v>39</v>
      </c>
      <c r="C555" s="30">
        <v>13</v>
      </c>
      <c r="D555" s="30" t="s">
        <v>38</v>
      </c>
      <c r="E555" s="30">
        <v>5</v>
      </c>
      <c r="F555" t="str">
        <f>VLOOKUP(C555,Products!$A$2:$H$16,2,FALSE)</f>
        <v>Glimpses of World History</v>
      </c>
      <c r="G555" t="str">
        <f>VLOOKUP(C555,Products!$A$2:$H$16,3,FALSE)</f>
        <v>Jawaharlal Nehru</v>
      </c>
      <c r="H555" t="str">
        <f>VLOOKUP(C555,Products!$A$2:$H$16,4,FALSE)</f>
        <v>e-book</v>
      </c>
      <c r="I555">
        <f>VLOOKUP(C555,Products!$A$2:$H$16,5,FALSE)</f>
        <v>2005</v>
      </c>
      <c r="J555" s="29">
        <f>VLOOKUP(C555,Products!$A$2:$H$16,6,FALSE)</f>
        <v>300</v>
      </c>
      <c r="K555" s="32">
        <f>VLOOKUP(C555,Products!$A$2:$H$16,7,FALSE)</f>
        <v>0.2</v>
      </c>
      <c r="L555" s="29">
        <f>VLOOKUP(C555,Products!$A$2:$H$16,8,FALSE)</f>
        <v>360</v>
      </c>
      <c r="M555" s="41">
        <f t="shared" si="24"/>
        <v>12</v>
      </c>
      <c r="N555" s="43">
        <f t="shared" si="25"/>
        <v>1800</v>
      </c>
      <c r="O555" s="43">
        <f t="shared" si="26"/>
        <v>1500</v>
      </c>
    </row>
    <row r="556" spans="1:15" x14ac:dyDescent="0.25">
      <c r="A556" s="31">
        <v>41630</v>
      </c>
      <c r="B556" t="s">
        <v>40</v>
      </c>
      <c r="C556" s="30">
        <v>1</v>
      </c>
      <c r="D556" s="30" t="s">
        <v>38</v>
      </c>
      <c r="E556" s="30">
        <v>2</v>
      </c>
      <c r="F556" t="str">
        <f>VLOOKUP(C556,Products!$A$2:$H$16,2,FALSE)</f>
        <v>The Discovery of India</v>
      </c>
      <c r="G556" t="str">
        <f>VLOOKUP(C556,Products!$A$2:$H$16,3,FALSE)</f>
        <v>Jawaharlal Nehru</v>
      </c>
      <c r="H556" t="str">
        <f>VLOOKUP(C556,Products!$A$2:$H$16,4,FALSE)</f>
        <v>Hard Cover</v>
      </c>
      <c r="I556">
        <f>VLOOKUP(C556,Products!$A$2:$H$16,5,FALSE)</f>
        <v>1946</v>
      </c>
      <c r="J556" s="29">
        <f>VLOOKUP(C556,Products!$A$2:$H$16,6,FALSE)</f>
        <v>599.95000000000005</v>
      </c>
      <c r="K556" s="32">
        <f>VLOOKUP(C556,Products!$A$2:$H$16,7,FALSE)</f>
        <v>0.3</v>
      </c>
      <c r="L556" s="29">
        <f>VLOOKUP(C556,Products!$A$2:$H$16,8,FALSE)</f>
        <v>779.93500000000006</v>
      </c>
      <c r="M556" s="41">
        <f t="shared" si="24"/>
        <v>12</v>
      </c>
      <c r="N556" s="43">
        <f t="shared" si="25"/>
        <v>1559.8700000000001</v>
      </c>
      <c r="O556" s="43">
        <f t="shared" si="26"/>
        <v>1199.9000000000001</v>
      </c>
    </row>
    <row r="557" spans="1:15" x14ac:dyDescent="0.25">
      <c r="A557" s="31">
        <v>41631</v>
      </c>
      <c r="B557" t="s">
        <v>42</v>
      </c>
      <c r="C557" s="30">
        <v>11</v>
      </c>
      <c r="D557" s="30" t="s">
        <v>34</v>
      </c>
      <c r="E557" s="30">
        <v>13</v>
      </c>
      <c r="F557" t="str">
        <f>VLOOKUP(C557,Products!$A$2:$H$16,2,FALSE)</f>
        <v>The Discovery of India</v>
      </c>
      <c r="G557" t="str">
        <f>VLOOKUP(C557,Products!$A$2:$H$16,3,FALSE)</f>
        <v>Jawaharlal Nehru</v>
      </c>
      <c r="H557" t="str">
        <f>VLOOKUP(C557,Products!$A$2:$H$16,4,FALSE)</f>
        <v>e-book</v>
      </c>
      <c r="I557">
        <f>VLOOKUP(C557,Products!$A$2:$H$16,5,FALSE)</f>
        <v>2004</v>
      </c>
      <c r="J557" s="29">
        <f>VLOOKUP(C557,Products!$A$2:$H$16,6,FALSE)</f>
        <v>250</v>
      </c>
      <c r="K557" s="32">
        <f>VLOOKUP(C557,Products!$A$2:$H$16,7,FALSE)</f>
        <v>0.3</v>
      </c>
      <c r="L557" s="29">
        <f>VLOOKUP(C557,Products!$A$2:$H$16,8,FALSE)</f>
        <v>325</v>
      </c>
      <c r="M557" s="41">
        <f t="shared" si="24"/>
        <v>12</v>
      </c>
      <c r="N557" s="43">
        <f t="shared" si="25"/>
        <v>4225</v>
      </c>
      <c r="O557" s="43">
        <f t="shared" si="26"/>
        <v>3250</v>
      </c>
    </row>
    <row r="558" spans="1:15" x14ac:dyDescent="0.25">
      <c r="A558" s="31">
        <v>41633</v>
      </c>
      <c r="B558" t="s">
        <v>42</v>
      </c>
      <c r="C558" s="30">
        <v>1</v>
      </c>
      <c r="D558" s="30" t="s">
        <v>38</v>
      </c>
      <c r="E558" s="30">
        <v>2</v>
      </c>
      <c r="F558" t="str">
        <f>VLOOKUP(C558,Products!$A$2:$H$16,2,FALSE)</f>
        <v>The Discovery of India</v>
      </c>
      <c r="G558" t="str">
        <f>VLOOKUP(C558,Products!$A$2:$H$16,3,FALSE)</f>
        <v>Jawaharlal Nehru</v>
      </c>
      <c r="H558" t="str">
        <f>VLOOKUP(C558,Products!$A$2:$H$16,4,FALSE)</f>
        <v>Hard Cover</v>
      </c>
      <c r="I558">
        <f>VLOOKUP(C558,Products!$A$2:$H$16,5,FALSE)</f>
        <v>1946</v>
      </c>
      <c r="J558" s="29">
        <f>VLOOKUP(C558,Products!$A$2:$H$16,6,FALSE)</f>
        <v>599.95000000000005</v>
      </c>
      <c r="K558" s="32">
        <f>VLOOKUP(C558,Products!$A$2:$H$16,7,FALSE)</f>
        <v>0.3</v>
      </c>
      <c r="L558" s="29">
        <f>VLOOKUP(C558,Products!$A$2:$H$16,8,FALSE)</f>
        <v>779.93500000000006</v>
      </c>
      <c r="M558" s="41">
        <f t="shared" si="24"/>
        <v>12</v>
      </c>
      <c r="N558" s="43">
        <f t="shared" si="25"/>
        <v>1559.8700000000001</v>
      </c>
      <c r="O558" s="43">
        <f t="shared" si="26"/>
        <v>1199.9000000000001</v>
      </c>
    </row>
    <row r="559" spans="1:15" x14ac:dyDescent="0.25">
      <c r="A559" s="31">
        <v>41634</v>
      </c>
      <c r="B559" t="s">
        <v>37</v>
      </c>
      <c r="C559" s="30">
        <v>11</v>
      </c>
      <c r="D559" s="30" t="s">
        <v>34</v>
      </c>
      <c r="E559" s="30">
        <v>19</v>
      </c>
      <c r="F559" t="str">
        <f>VLOOKUP(C559,Products!$A$2:$H$16,2,FALSE)</f>
        <v>The Discovery of India</v>
      </c>
      <c r="G559" t="str">
        <f>VLOOKUP(C559,Products!$A$2:$H$16,3,FALSE)</f>
        <v>Jawaharlal Nehru</v>
      </c>
      <c r="H559" t="str">
        <f>VLOOKUP(C559,Products!$A$2:$H$16,4,FALSE)</f>
        <v>e-book</v>
      </c>
      <c r="I559">
        <f>VLOOKUP(C559,Products!$A$2:$H$16,5,FALSE)</f>
        <v>2004</v>
      </c>
      <c r="J559" s="29">
        <f>VLOOKUP(C559,Products!$A$2:$H$16,6,FALSE)</f>
        <v>250</v>
      </c>
      <c r="K559" s="32">
        <f>VLOOKUP(C559,Products!$A$2:$H$16,7,FALSE)</f>
        <v>0.3</v>
      </c>
      <c r="L559" s="29">
        <f>VLOOKUP(C559,Products!$A$2:$H$16,8,FALSE)</f>
        <v>325</v>
      </c>
      <c r="M559" s="41">
        <f t="shared" si="24"/>
        <v>12</v>
      </c>
      <c r="N559" s="43">
        <f t="shared" si="25"/>
        <v>6175</v>
      </c>
      <c r="O559" s="43">
        <f t="shared" si="26"/>
        <v>4750</v>
      </c>
    </row>
    <row r="560" spans="1:15" x14ac:dyDescent="0.25">
      <c r="A560" s="31">
        <v>41635</v>
      </c>
      <c r="B560" t="s">
        <v>42</v>
      </c>
      <c r="C560" s="30">
        <v>13</v>
      </c>
      <c r="D560" s="30" t="s">
        <v>38</v>
      </c>
      <c r="E560" s="30">
        <v>6</v>
      </c>
      <c r="F560" t="str">
        <f>VLOOKUP(C560,Products!$A$2:$H$16,2,FALSE)</f>
        <v>Glimpses of World History</v>
      </c>
      <c r="G560" t="str">
        <f>VLOOKUP(C560,Products!$A$2:$H$16,3,FALSE)</f>
        <v>Jawaharlal Nehru</v>
      </c>
      <c r="H560" t="str">
        <f>VLOOKUP(C560,Products!$A$2:$H$16,4,FALSE)</f>
        <v>e-book</v>
      </c>
      <c r="I560">
        <f>VLOOKUP(C560,Products!$A$2:$H$16,5,FALSE)</f>
        <v>2005</v>
      </c>
      <c r="J560" s="29">
        <f>VLOOKUP(C560,Products!$A$2:$H$16,6,FALSE)</f>
        <v>300</v>
      </c>
      <c r="K560" s="32">
        <f>VLOOKUP(C560,Products!$A$2:$H$16,7,FALSE)</f>
        <v>0.2</v>
      </c>
      <c r="L560" s="29">
        <f>VLOOKUP(C560,Products!$A$2:$H$16,8,FALSE)</f>
        <v>360</v>
      </c>
      <c r="M560" s="41">
        <f t="shared" si="24"/>
        <v>12</v>
      </c>
      <c r="N560" s="43">
        <f t="shared" si="25"/>
        <v>2160</v>
      </c>
      <c r="O560" s="43">
        <f t="shared" si="26"/>
        <v>1800</v>
      </c>
    </row>
    <row r="561" spans="1:15" x14ac:dyDescent="0.25">
      <c r="A561" s="31">
        <v>41636</v>
      </c>
      <c r="B561" t="s">
        <v>41</v>
      </c>
      <c r="C561" s="30">
        <v>13</v>
      </c>
      <c r="D561" s="30" t="s">
        <v>38</v>
      </c>
      <c r="E561" s="30">
        <v>17</v>
      </c>
      <c r="F561" t="str">
        <f>VLOOKUP(C561,Products!$A$2:$H$16,2,FALSE)</f>
        <v>Glimpses of World History</v>
      </c>
      <c r="G561" t="str">
        <f>VLOOKUP(C561,Products!$A$2:$H$16,3,FALSE)</f>
        <v>Jawaharlal Nehru</v>
      </c>
      <c r="H561" t="str">
        <f>VLOOKUP(C561,Products!$A$2:$H$16,4,FALSE)</f>
        <v>e-book</v>
      </c>
      <c r="I561">
        <f>VLOOKUP(C561,Products!$A$2:$H$16,5,FALSE)</f>
        <v>2005</v>
      </c>
      <c r="J561" s="29">
        <f>VLOOKUP(C561,Products!$A$2:$H$16,6,FALSE)</f>
        <v>300</v>
      </c>
      <c r="K561" s="32">
        <f>VLOOKUP(C561,Products!$A$2:$H$16,7,FALSE)</f>
        <v>0.2</v>
      </c>
      <c r="L561" s="29">
        <f>VLOOKUP(C561,Products!$A$2:$H$16,8,FALSE)</f>
        <v>360</v>
      </c>
      <c r="M561" s="41">
        <f t="shared" si="24"/>
        <v>12</v>
      </c>
      <c r="N561" s="43">
        <f t="shared" si="25"/>
        <v>6120</v>
      </c>
      <c r="O561" s="43">
        <f t="shared" si="26"/>
        <v>5100</v>
      </c>
    </row>
    <row r="562" spans="1:15" x14ac:dyDescent="0.25">
      <c r="A562" s="31">
        <v>41636</v>
      </c>
      <c r="B562" t="s">
        <v>42</v>
      </c>
      <c r="C562" s="30">
        <v>6</v>
      </c>
      <c r="D562" s="30" t="s">
        <v>34</v>
      </c>
      <c r="E562" s="30">
        <v>16</v>
      </c>
      <c r="F562" t="str">
        <f>VLOOKUP(C562,Products!$A$2:$H$16,2,FALSE)</f>
        <v>The Discovery of India</v>
      </c>
      <c r="G562" t="str">
        <f>VLOOKUP(C562,Products!$A$2:$H$16,3,FALSE)</f>
        <v>Jawaharlal Nehru</v>
      </c>
      <c r="H562" t="str">
        <f>VLOOKUP(C562,Products!$A$2:$H$16,4,FALSE)</f>
        <v>Soft Cover</v>
      </c>
      <c r="I562">
        <f>VLOOKUP(C562,Products!$A$2:$H$16,5,FALSE)</f>
        <v>1946</v>
      </c>
      <c r="J562" s="29">
        <f>VLOOKUP(C562,Products!$A$2:$H$16,6,FALSE)</f>
        <v>499</v>
      </c>
      <c r="K562" s="32">
        <f>VLOOKUP(C562,Products!$A$2:$H$16,7,FALSE)</f>
        <v>0.3</v>
      </c>
      <c r="L562" s="29">
        <f>VLOOKUP(C562,Products!$A$2:$H$16,8,FALSE)</f>
        <v>648.70000000000005</v>
      </c>
      <c r="M562" s="41">
        <f t="shared" si="24"/>
        <v>12</v>
      </c>
      <c r="N562" s="43">
        <f t="shared" si="25"/>
        <v>10379.200000000001</v>
      </c>
      <c r="O562" s="43">
        <f t="shared" si="26"/>
        <v>7984</v>
      </c>
    </row>
    <row r="563" spans="1:15" x14ac:dyDescent="0.25">
      <c r="A563" s="31">
        <v>41636</v>
      </c>
      <c r="B563" t="s">
        <v>33</v>
      </c>
      <c r="C563" s="30">
        <v>1</v>
      </c>
      <c r="D563" s="30" t="s">
        <v>34</v>
      </c>
      <c r="E563" s="30">
        <v>14</v>
      </c>
      <c r="F563" t="str">
        <f>VLOOKUP(C563,Products!$A$2:$H$16,2,FALSE)</f>
        <v>The Discovery of India</v>
      </c>
      <c r="G563" t="str">
        <f>VLOOKUP(C563,Products!$A$2:$H$16,3,FALSE)</f>
        <v>Jawaharlal Nehru</v>
      </c>
      <c r="H563" t="str">
        <f>VLOOKUP(C563,Products!$A$2:$H$16,4,FALSE)</f>
        <v>Hard Cover</v>
      </c>
      <c r="I563">
        <f>VLOOKUP(C563,Products!$A$2:$H$16,5,FALSE)</f>
        <v>1946</v>
      </c>
      <c r="J563" s="29">
        <f>VLOOKUP(C563,Products!$A$2:$H$16,6,FALSE)</f>
        <v>599.95000000000005</v>
      </c>
      <c r="K563" s="32">
        <f>VLOOKUP(C563,Products!$A$2:$H$16,7,FALSE)</f>
        <v>0.3</v>
      </c>
      <c r="L563" s="29">
        <f>VLOOKUP(C563,Products!$A$2:$H$16,8,FALSE)</f>
        <v>779.93500000000006</v>
      </c>
      <c r="M563" s="41">
        <f t="shared" si="24"/>
        <v>12</v>
      </c>
      <c r="N563" s="43">
        <f t="shared" si="25"/>
        <v>10919.09</v>
      </c>
      <c r="O563" s="43">
        <f t="shared" si="26"/>
        <v>8399.3000000000011</v>
      </c>
    </row>
    <row r="564" spans="1:15" x14ac:dyDescent="0.25">
      <c r="A564" s="31">
        <v>41636</v>
      </c>
      <c r="B564" t="s">
        <v>37</v>
      </c>
      <c r="C564" s="30">
        <v>2</v>
      </c>
      <c r="D564" s="30" t="s">
        <v>38</v>
      </c>
      <c r="E564" s="30">
        <v>4</v>
      </c>
      <c r="F564" t="str">
        <f>VLOOKUP(C564,Products!$A$2:$H$16,2,FALSE)</f>
        <v>The Story of my Experiments with Truth</v>
      </c>
      <c r="G564" t="str">
        <f>VLOOKUP(C564,Products!$A$2:$H$16,3,FALSE)</f>
        <v>Mahatma Gandhi</v>
      </c>
      <c r="H564" t="str">
        <f>VLOOKUP(C564,Products!$A$2:$H$16,4,FALSE)</f>
        <v>Hard Cover</v>
      </c>
      <c r="I564">
        <f>VLOOKUP(C564,Products!$A$2:$H$16,5,FALSE)</f>
        <v>1927</v>
      </c>
      <c r="J564" s="29">
        <f>VLOOKUP(C564,Products!$A$2:$H$16,6,FALSE)</f>
        <v>159</v>
      </c>
      <c r="K564" s="32">
        <f>VLOOKUP(C564,Products!$A$2:$H$16,7,FALSE)</f>
        <v>0.3</v>
      </c>
      <c r="L564" s="29">
        <f>VLOOKUP(C564,Products!$A$2:$H$16,8,FALSE)</f>
        <v>206.7</v>
      </c>
      <c r="M564" s="41">
        <f t="shared" si="24"/>
        <v>12</v>
      </c>
      <c r="N564" s="43">
        <f t="shared" si="25"/>
        <v>826.8</v>
      </c>
      <c r="O564" s="43">
        <f t="shared" si="26"/>
        <v>636</v>
      </c>
    </row>
    <row r="565" spans="1:15" x14ac:dyDescent="0.25">
      <c r="A565" s="31">
        <v>41637</v>
      </c>
      <c r="B565" t="s">
        <v>36</v>
      </c>
      <c r="C565" s="30">
        <v>15</v>
      </c>
      <c r="D565" s="30" t="s">
        <v>34</v>
      </c>
      <c r="E565" s="30">
        <v>4</v>
      </c>
      <c r="F565" t="str">
        <f>VLOOKUP(C565,Products!$A$2:$H$16,2,FALSE)</f>
        <v>Wings of Fire</v>
      </c>
      <c r="G565" t="str">
        <f>VLOOKUP(C565,Products!$A$2:$H$16,3,FALSE)</f>
        <v>APJ Abdul Kalam,
Arun Tiwari</v>
      </c>
      <c r="H565" t="str">
        <f>VLOOKUP(C565,Products!$A$2:$H$16,4,FALSE)</f>
        <v>e-book</v>
      </c>
      <c r="I565">
        <f>VLOOKUP(C565,Products!$A$2:$H$16,5,FALSE)</f>
        <v>2005</v>
      </c>
      <c r="J565" s="29">
        <f>VLOOKUP(C565,Products!$A$2:$H$16,6,FALSE)</f>
        <v>500</v>
      </c>
      <c r="K565" s="32">
        <f>VLOOKUP(C565,Products!$A$2:$H$16,7,FALSE)</f>
        <v>0.1</v>
      </c>
      <c r="L565" s="29">
        <f>VLOOKUP(C565,Products!$A$2:$H$16,8,FALSE)</f>
        <v>550</v>
      </c>
      <c r="M565" s="41">
        <f t="shared" si="24"/>
        <v>12</v>
      </c>
      <c r="N565" s="43">
        <f t="shared" si="25"/>
        <v>2200</v>
      </c>
      <c r="O565" s="43">
        <f t="shared" si="26"/>
        <v>2000</v>
      </c>
    </row>
    <row r="566" spans="1:15" x14ac:dyDescent="0.25">
      <c r="A566" s="31">
        <v>41638</v>
      </c>
      <c r="B566" t="s">
        <v>42</v>
      </c>
      <c r="C566" s="30">
        <v>10</v>
      </c>
      <c r="D566" s="30" t="s">
        <v>34</v>
      </c>
      <c r="E566" s="30">
        <v>10</v>
      </c>
      <c r="F566" t="str">
        <f>VLOOKUP(C566,Products!$A$2:$H$16,2,FALSE)</f>
        <v>Wings of Fire</v>
      </c>
      <c r="G566" t="str">
        <f>VLOOKUP(C566,Products!$A$2:$H$16,3,FALSE)</f>
        <v>APJ Abdul Kalam,
Arun Tiwari</v>
      </c>
      <c r="H566" t="str">
        <f>VLOOKUP(C566,Products!$A$2:$H$16,4,FALSE)</f>
        <v>Soft Cover</v>
      </c>
      <c r="I566">
        <f>VLOOKUP(C566,Products!$A$2:$H$16,5,FALSE)</f>
        <v>1999</v>
      </c>
      <c r="J566" s="29">
        <f>VLOOKUP(C566,Products!$A$2:$H$16,6,FALSE)</f>
        <v>1200</v>
      </c>
      <c r="K566" s="32">
        <f>VLOOKUP(C566,Products!$A$2:$H$16,7,FALSE)</f>
        <v>0.1</v>
      </c>
      <c r="L566" s="29">
        <f>VLOOKUP(C566,Products!$A$2:$H$16,8,FALSE)</f>
        <v>1320</v>
      </c>
      <c r="M566" s="41">
        <f t="shared" si="24"/>
        <v>12</v>
      </c>
      <c r="N566" s="43">
        <f t="shared" si="25"/>
        <v>13200</v>
      </c>
      <c r="O566" s="43">
        <f t="shared" si="26"/>
        <v>12000</v>
      </c>
    </row>
    <row r="567" spans="1:15" x14ac:dyDescent="0.25">
      <c r="A567" s="31">
        <v>41638</v>
      </c>
      <c r="B567" t="s">
        <v>35</v>
      </c>
      <c r="C567" s="30">
        <v>4</v>
      </c>
      <c r="D567" s="30" t="s">
        <v>34</v>
      </c>
      <c r="E567" s="30">
        <v>8</v>
      </c>
      <c r="F567" t="str">
        <f>VLOOKUP(C567,Products!$A$2:$H$16,2,FALSE)</f>
        <v>A Guide to Health</v>
      </c>
      <c r="G567" t="str">
        <f>VLOOKUP(C567,Products!$A$2:$H$16,3,FALSE)</f>
        <v>Mahatma Gandhi</v>
      </c>
      <c r="H567" t="str">
        <f>VLOOKUP(C567,Products!$A$2:$H$16,4,FALSE)</f>
        <v>Hard Cover</v>
      </c>
      <c r="I567">
        <f>VLOOKUP(C567,Products!$A$2:$H$16,5,FALSE)</f>
        <v>1921</v>
      </c>
      <c r="J567" s="29">
        <f>VLOOKUP(C567,Products!$A$2:$H$16,6,FALSE)</f>
        <v>250</v>
      </c>
      <c r="K567" s="32">
        <f>VLOOKUP(C567,Products!$A$2:$H$16,7,FALSE)</f>
        <v>0.15</v>
      </c>
      <c r="L567" s="29">
        <f>VLOOKUP(C567,Products!$A$2:$H$16,8,FALSE)</f>
        <v>287.5</v>
      </c>
      <c r="M567" s="41">
        <f t="shared" si="24"/>
        <v>12</v>
      </c>
      <c r="N567" s="43">
        <f t="shared" si="25"/>
        <v>2300</v>
      </c>
      <c r="O567" s="43">
        <f t="shared" si="26"/>
        <v>2000</v>
      </c>
    </row>
    <row r="568" spans="1:15" x14ac:dyDescent="0.25">
      <c r="A568" s="31">
        <v>41639</v>
      </c>
      <c r="B568" t="s">
        <v>36</v>
      </c>
      <c r="C568" s="30">
        <v>14</v>
      </c>
      <c r="D568" s="30" t="s">
        <v>38</v>
      </c>
      <c r="E568" s="30">
        <v>15</v>
      </c>
      <c r="F568" t="str">
        <f>VLOOKUP(C568,Products!$A$2:$H$16,2,FALSE)</f>
        <v>A Guide to Health</v>
      </c>
      <c r="G568" t="str">
        <f>VLOOKUP(C568,Products!$A$2:$H$16,3,FALSE)</f>
        <v>Mahatma Gandhi</v>
      </c>
      <c r="H568" t="str">
        <f>VLOOKUP(C568,Products!$A$2:$H$16,4,FALSE)</f>
        <v>e-book</v>
      </c>
      <c r="I568">
        <f>VLOOKUP(C568,Products!$A$2:$H$16,5,FALSE)</f>
        <v>2005</v>
      </c>
      <c r="J568" s="29">
        <f>VLOOKUP(C568,Products!$A$2:$H$16,6,FALSE)</f>
        <v>105</v>
      </c>
      <c r="K568" s="32">
        <f>VLOOKUP(C568,Products!$A$2:$H$16,7,FALSE)</f>
        <v>0.15</v>
      </c>
      <c r="L568" s="29">
        <f>VLOOKUP(C568,Products!$A$2:$H$16,8,FALSE)</f>
        <v>120.75</v>
      </c>
      <c r="M568" s="41">
        <f t="shared" si="24"/>
        <v>12</v>
      </c>
      <c r="N568" s="43">
        <f t="shared" si="25"/>
        <v>1811.25</v>
      </c>
      <c r="O568" s="43">
        <f t="shared" si="26"/>
        <v>1575</v>
      </c>
    </row>
    <row r="569" spans="1:15" x14ac:dyDescent="0.25">
      <c r="A569" s="31">
        <v>41639</v>
      </c>
      <c r="B569" t="s">
        <v>41</v>
      </c>
      <c r="C569" s="30">
        <v>10</v>
      </c>
      <c r="D569" s="30" t="s">
        <v>34</v>
      </c>
      <c r="E569" s="30">
        <v>7</v>
      </c>
      <c r="F569" t="str">
        <f>VLOOKUP(C569,Products!$A$2:$H$16,2,FALSE)</f>
        <v>Wings of Fire</v>
      </c>
      <c r="G569" t="str">
        <f>VLOOKUP(C569,Products!$A$2:$H$16,3,FALSE)</f>
        <v>APJ Abdul Kalam,
Arun Tiwari</v>
      </c>
      <c r="H569" t="str">
        <f>VLOOKUP(C569,Products!$A$2:$H$16,4,FALSE)</f>
        <v>Soft Cover</v>
      </c>
      <c r="I569">
        <f>VLOOKUP(C569,Products!$A$2:$H$16,5,FALSE)</f>
        <v>1999</v>
      </c>
      <c r="J569" s="29">
        <f>VLOOKUP(C569,Products!$A$2:$H$16,6,FALSE)</f>
        <v>1200</v>
      </c>
      <c r="K569" s="32">
        <f>VLOOKUP(C569,Products!$A$2:$H$16,7,FALSE)</f>
        <v>0.1</v>
      </c>
      <c r="L569" s="29">
        <f>VLOOKUP(C569,Products!$A$2:$H$16,8,FALSE)</f>
        <v>1320</v>
      </c>
      <c r="M569" s="41">
        <f t="shared" si="24"/>
        <v>12</v>
      </c>
      <c r="N569" s="43">
        <f t="shared" si="25"/>
        <v>9240</v>
      </c>
      <c r="O569" s="43">
        <f t="shared" si="26"/>
        <v>8400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20"/>
  <sheetViews>
    <sheetView tabSelected="1" workbookViewId="0">
      <selection activeCell="E22" sqref="E22"/>
    </sheetView>
  </sheetViews>
  <sheetFormatPr defaultRowHeight="15" x14ac:dyDescent="0.25"/>
  <cols>
    <col min="1" max="1" width="18.5703125" customWidth="1"/>
    <col min="2" max="2" width="10.7109375" bestFit="1" customWidth="1"/>
    <col min="3" max="3" width="4.7109375" customWidth="1"/>
    <col min="5" max="5" width="13.28515625" bestFit="1" customWidth="1"/>
    <col min="6" max="6" width="10" bestFit="1" customWidth="1"/>
    <col min="7" max="7" width="15.42578125" bestFit="1" customWidth="1"/>
    <col min="8" max="8" width="11.5703125" customWidth="1"/>
    <col min="9" max="9" width="10.7109375" customWidth="1"/>
    <col min="10" max="10" width="6.140625" customWidth="1"/>
    <col min="11" max="11" width="36.7109375" bestFit="1" customWidth="1"/>
    <col min="12" max="12" width="10.7109375" bestFit="1" customWidth="1"/>
    <col min="13" max="13" width="11.28515625" customWidth="1"/>
  </cols>
  <sheetData>
    <row r="5" spans="1:13" x14ac:dyDescent="0.25">
      <c r="A5" s="42" t="s">
        <v>62</v>
      </c>
      <c r="B5" s="44" t="s">
        <v>56</v>
      </c>
      <c r="D5" s="51" t="s">
        <v>60</v>
      </c>
      <c r="E5" s="51" t="s">
        <v>61</v>
      </c>
      <c r="F5" s="52" t="s">
        <v>63</v>
      </c>
      <c r="G5" s="52" t="s">
        <v>64</v>
      </c>
      <c r="H5" s="52" t="s">
        <v>56</v>
      </c>
      <c r="I5" s="52" t="s">
        <v>65</v>
      </c>
      <c r="K5" s="51" t="s">
        <v>66</v>
      </c>
      <c r="L5" s="51" t="s">
        <v>56</v>
      </c>
      <c r="M5" s="51" t="s">
        <v>63</v>
      </c>
    </row>
    <row r="6" spans="1:13" x14ac:dyDescent="0.25">
      <c r="A6" s="45" t="s">
        <v>16</v>
      </c>
      <c r="B6" s="46">
        <f>SUMIF(Sales!$H$2:$H$569,Report!A6,Sales!$N$2:$N$569)</f>
        <v>476611</v>
      </c>
      <c r="D6" s="47" t="s">
        <v>43</v>
      </c>
      <c r="E6" s="47">
        <v>1</v>
      </c>
      <c r="F6" s="49">
        <f>SUMIF(Sales!$M$2:$M$569,E6,Sales!$E$2:$E$569)</f>
        <v>506</v>
      </c>
      <c r="G6" s="48">
        <f>SUMIF(Sales!$M$2:$M$569,E6,Sales!$O$2:$O$569)</f>
        <v>219868.45959999997</v>
      </c>
      <c r="H6" s="48">
        <f>SUMIF(Sales!$M$2:$M$569,E6,Sales!$N$2:$N$569)</f>
        <v>263776.38096000004</v>
      </c>
      <c r="I6" s="48">
        <f>H6-G6</f>
        <v>43907.921360000066</v>
      </c>
      <c r="K6" s="53" t="s">
        <v>10</v>
      </c>
      <c r="L6" s="54">
        <f>SUMIF(Sales!$F$2:$F$569,K6,Sales!$N$2:$N$569)</f>
        <v>691799.15999999992</v>
      </c>
      <c r="M6" s="53">
        <f>SUMIF(Sales!$F$2:$F$569,K6,Sales!$E$2:$E$569)</f>
        <v>1230</v>
      </c>
    </row>
    <row r="7" spans="1:13" x14ac:dyDescent="0.25">
      <c r="A7" s="45" t="s">
        <v>14</v>
      </c>
      <c r="B7" s="46">
        <f>SUMIF(Sales!$H$2:$H$569,Report!A7,Sales!$N$2:$N$569)</f>
        <v>1391673.8236800004</v>
      </c>
      <c r="D7" s="47" t="s">
        <v>44</v>
      </c>
      <c r="E7" s="47">
        <v>2</v>
      </c>
      <c r="F7" s="49">
        <f>SUMIF(Sales!$M$2:$M$569,E7,Sales!$E$2:$E$569)</f>
        <v>478</v>
      </c>
      <c r="G7" s="48">
        <f>SUMIF(Sales!$M$2:$M$569,E7,Sales!$O$2:$O$569)</f>
        <v>234690.80800000002</v>
      </c>
      <c r="H7" s="48">
        <f>SUMIF(Sales!$M$2:$M$569,E7,Sales!$N$2:$N$569)</f>
        <v>274770.6164</v>
      </c>
      <c r="I7" s="48">
        <f t="shared" ref="I7:I17" si="0">H7-G7</f>
        <v>40079.80839999998</v>
      </c>
      <c r="K7" s="53" t="s">
        <v>67</v>
      </c>
      <c r="L7" s="54">
        <f>SUMIF(Sales!$F$2:$F$569,K7,Sales!$N$2:$N$569)</f>
        <v>164387.6</v>
      </c>
      <c r="M7" s="53">
        <f>SUMIF(Sales!$F$2:$F$569,K7,Sales!$E$2:$E$569)</f>
        <v>1178</v>
      </c>
    </row>
    <row r="8" spans="1:13" x14ac:dyDescent="0.25">
      <c r="A8" s="45" t="s">
        <v>15</v>
      </c>
      <c r="B8" s="46">
        <f>SUMIF(Sales!$H$2:$H$569,Report!A8,Sales!$N$2:$N$569)</f>
        <v>1223370.5000000005</v>
      </c>
      <c r="D8" s="47" t="s">
        <v>45</v>
      </c>
      <c r="E8" s="47">
        <v>3</v>
      </c>
      <c r="F8" s="49">
        <f>SUMIF(Sales!$M$2:$M$569,E8,Sales!$E$2:$E$569)</f>
        <v>515</v>
      </c>
      <c r="G8" s="48">
        <f>SUMIF(Sales!$M$2:$M$569,E8,Sales!$O$2:$O$569)</f>
        <v>190259.44499999998</v>
      </c>
      <c r="H8" s="48">
        <f>SUMIF(Sales!$M$2:$M$569,E8,Sales!$N$2:$N$569)</f>
        <v>227702.4896</v>
      </c>
      <c r="I8" s="48">
        <f t="shared" si="0"/>
        <v>37443.044600000023</v>
      </c>
      <c r="K8" s="53" t="s">
        <v>1</v>
      </c>
      <c r="L8" s="54">
        <f>SUMIF(Sales!$F$2:$F$569,K8,Sales!$N$2:$N$569)</f>
        <v>853700.52840000007</v>
      </c>
      <c r="M8" s="53">
        <f>SUMIF(Sales!$F$2:$F$569,K8,Sales!$E$2:$E$569)</f>
        <v>1212</v>
      </c>
    </row>
    <row r="9" spans="1:13" x14ac:dyDescent="0.25">
      <c r="D9" s="47" t="s">
        <v>46</v>
      </c>
      <c r="E9" s="47">
        <v>4</v>
      </c>
      <c r="F9" s="49">
        <f>SUMIF(Sales!$M$2:$M$569,E9,Sales!$E$2:$E$569)</f>
        <v>464</v>
      </c>
      <c r="G9" s="48">
        <f>SUMIF(Sales!$M$2:$M$569,E9,Sales!$O$2:$O$569)</f>
        <v>221708.3224</v>
      </c>
      <c r="H9" s="48">
        <f>SUMIF(Sales!$M$2:$M$569,E9,Sales!$N$2:$N$569)</f>
        <v>261835.05584000004</v>
      </c>
      <c r="I9" s="48">
        <f t="shared" si="0"/>
        <v>40126.73344000004</v>
      </c>
      <c r="K9" s="53" t="s">
        <v>2</v>
      </c>
      <c r="L9" s="54">
        <f>SUMIF(Sales!$F$2:$F$569,K9,Sales!$N$2:$N$569)</f>
        <v>265029</v>
      </c>
      <c r="M9" s="53">
        <f>SUMIF(Sales!$F$2:$F$569,K9,Sales!$E$2:$E$569)</f>
        <v>1185</v>
      </c>
    </row>
    <row r="10" spans="1:13" x14ac:dyDescent="0.25">
      <c r="D10" s="47" t="s">
        <v>47</v>
      </c>
      <c r="E10" s="47">
        <v>5</v>
      </c>
      <c r="F10" s="49">
        <f>SUMIF(Sales!$M$2:$M$569,E10,Sales!$E$2:$E$569)</f>
        <v>420</v>
      </c>
      <c r="G10" s="48">
        <f>SUMIF(Sales!$M$2:$M$569,E10,Sales!$O$2:$O$569)</f>
        <v>193509.753</v>
      </c>
      <c r="H10" s="48">
        <f>SUMIF(Sales!$M$2:$M$569,E10,Sales!$N$2:$N$569)</f>
        <v>225204.88399999999</v>
      </c>
      <c r="I10" s="48">
        <f t="shared" si="0"/>
        <v>31695.130999999994</v>
      </c>
      <c r="K10" s="53" t="s">
        <v>3</v>
      </c>
      <c r="L10" s="54">
        <f>SUMIF(Sales!$F$2:$F$569,K10,Sales!$N$2:$N$569)</f>
        <v>1116739.0352800004</v>
      </c>
      <c r="M10" s="53">
        <f>SUMIF(Sales!$F$2:$F$569,K10,Sales!$E$2:$E$569)</f>
        <v>961</v>
      </c>
    </row>
    <row r="11" spans="1:13" x14ac:dyDescent="0.25">
      <c r="A11" s="50" t="s">
        <v>69</v>
      </c>
      <c r="B11" s="50" t="s">
        <v>56</v>
      </c>
      <c r="D11" s="47" t="s">
        <v>48</v>
      </c>
      <c r="E11" s="47">
        <v>6</v>
      </c>
      <c r="F11" s="49">
        <f>SUMIF(Sales!$M$2:$M$569,E11,Sales!$E$2:$E$569)</f>
        <v>605</v>
      </c>
      <c r="G11" s="48">
        <f>SUMIF(Sales!$M$2:$M$569,E11,Sales!$O$2:$O$569)</f>
        <v>291749.85200000001</v>
      </c>
      <c r="H11" s="48">
        <f>SUMIF(Sales!$M$2:$M$569,E11,Sales!$N$2:$N$569)</f>
        <v>341768.91960000002</v>
      </c>
      <c r="I11" s="48">
        <f t="shared" si="0"/>
        <v>50019.067600000009</v>
      </c>
    </row>
    <row r="12" spans="1:13" x14ac:dyDescent="0.25">
      <c r="A12" s="57" t="s">
        <v>34</v>
      </c>
      <c r="B12" s="58">
        <f>SUMIF(Sales!$D$2:$D$569,A12,Sales!$N$2:$N$569)</f>
        <v>1588744.3440400001</v>
      </c>
      <c r="D12" s="47" t="s">
        <v>49</v>
      </c>
      <c r="E12" s="47">
        <v>7</v>
      </c>
      <c r="F12" s="49">
        <f>SUMIF(Sales!$M$2:$M$569,E12,Sales!$E$2:$E$569)</f>
        <v>526</v>
      </c>
      <c r="G12" s="48">
        <f>SUMIF(Sales!$M$2:$M$569,E12,Sales!$O$2:$O$569)</f>
        <v>253365.45820000002</v>
      </c>
      <c r="H12" s="48">
        <f>SUMIF(Sales!$M$2:$M$569,E12,Sales!$N$2:$N$569)</f>
        <v>293877.32511999999</v>
      </c>
      <c r="I12" s="48">
        <f t="shared" si="0"/>
        <v>40511.866919999971</v>
      </c>
      <c r="K12" s="51" t="s">
        <v>68</v>
      </c>
      <c r="L12" s="51" t="s">
        <v>56</v>
      </c>
    </row>
    <row r="13" spans="1:13" x14ac:dyDescent="0.25">
      <c r="A13" s="57" t="s">
        <v>38</v>
      </c>
      <c r="B13" s="58">
        <f>SUMIF(Sales!$D$2:$D$569,A13,Sales!$N$2:$N$569)</f>
        <v>1502910.979640001</v>
      </c>
      <c r="D13" s="47" t="s">
        <v>50</v>
      </c>
      <c r="E13" s="47">
        <v>8</v>
      </c>
      <c r="F13" s="49">
        <f>SUMIF(Sales!$M$2:$M$569,E13,Sales!$E$2:$E$569)</f>
        <v>510</v>
      </c>
      <c r="G13" s="48">
        <f>SUMIF(Sales!$M$2:$M$569,E13,Sales!$O$2:$O$569)</f>
        <v>260050.40280000004</v>
      </c>
      <c r="H13" s="48">
        <f>SUMIF(Sales!$M$2:$M$569,E13,Sales!$N$2:$N$569)</f>
        <v>308298.38888000004</v>
      </c>
      <c r="I13" s="48">
        <f t="shared" si="0"/>
        <v>48247.986080000002</v>
      </c>
      <c r="K13" s="55" t="s">
        <v>33</v>
      </c>
      <c r="L13" s="56">
        <f>SUMIF(Sales!$B$2:$B$569,K13,Sales!$N$2:$N$569)</f>
        <v>310438.24848000001</v>
      </c>
    </row>
    <row r="14" spans="1:13" x14ac:dyDescent="0.25">
      <c r="D14" s="47" t="s">
        <v>51</v>
      </c>
      <c r="E14" s="47">
        <v>9</v>
      </c>
      <c r="F14" s="49">
        <f>SUMIF(Sales!$M$2:$M$569,E14,Sales!$E$2:$E$569)</f>
        <v>362</v>
      </c>
      <c r="G14" s="48">
        <f>SUMIF(Sales!$M$2:$M$569,E14,Sales!$O$2:$O$569)</f>
        <v>126667.6666</v>
      </c>
      <c r="H14" s="48">
        <f>SUMIF(Sales!$M$2:$M$569,E14,Sales!$N$2:$N$569)</f>
        <v>154370.95636000004</v>
      </c>
      <c r="I14" s="48">
        <f t="shared" si="0"/>
        <v>27703.289760000043</v>
      </c>
      <c r="K14" s="55" t="s">
        <v>35</v>
      </c>
      <c r="L14" s="56">
        <f>SUMIF(Sales!$B$2:$B$569,K14,Sales!$N$2:$N$569)</f>
        <v>377859.16471999994</v>
      </c>
    </row>
    <row r="15" spans="1:13" x14ac:dyDescent="0.25">
      <c r="D15" s="47" t="s">
        <v>52</v>
      </c>
      <c r="E15" s="47">
        <v>10</v>
      </c>
      <c r="F15" s="49">
        <f>SUMIF(Sales!$M$2:$M$569,E15,Sales!$E$2:$E$569)</f>
        <v>352</v>
      </c>
      <c r="G15" s="48">
        <f>SUMIF(Sales!$M$2:$M$569,E15,Sales!$O$2:$O$569)</f>
        <v>170990.2764</v>
      </c>
      <c r="H15" s="48">
        <f>SUMIF(Sales!$M$2:$M$569,E15,Sales!$N$2:$N$569)</f>
        <v>203968.86564000003</v>
      </c>
      <c r="I15" s="48">
        <f t="shared" si="0"/>
        <v>32978.58924000003</v>
      </c>
      <c r="K15" s="55" t="s">
        <v>36</v>
      </c>
      <c r="L15" s="56">
        <f>SUMIF(Sales!$B$2:$B$569,K15,Sales!$N$2:$N$569)</f>
        <v>446595.03455999994</v>
      </c>
    </row>
    <row r="16" spans="1:13" x14ac:dyDescent="0.25">
      <c r="D16" s="47" t="s">
        <v>53</v>
      </c>
      <c r="E16" s="47">
        <v>11</v>
      </c>
      <c r="F16" s="49">
        <f>SUMIF(Sales!$M$2:$M$569,E16,Sales!$E$2:$E$569)</f>
        <v>563</v>
      </c>
      <c r="G16" s="48">
        <f>SUMIF(Sales!$M$2:$M$569,E16,Sales!$O$2:$O$569)</f>
        <v>275347.32739999995</v>
      </c>
      <c r="H16" s="48">
        <f>SUMIF(Sales!$M$2:$M$569,E16,Sales!$N$2:$N$569)</f>
        <v>324133.52064</v>
      </c>
      <c r="I16" s="48">
        <f t="shared" si="0"/>
        <v>48786.193240000051</v>
      </c>
      <c r="K16" s="55" t="s">
        <v>37</v>
      </c>
      <c r="L16" s="56">
        <f>SUMIF(Sales!$B$2:$B$569,K16,Sales!$N$2:$N$569)</f>
        <v>360315.9608</v>
      </c>
    </row>
    <row r="17" spans="4:12" x14ac:dyDescent="0.25">
      <c r="D17" s="47" t="s">
        <v>54</v>
      </c>
      <c r="E17" s="47">
        <v>12</v>
      </c>
      <c r="F17" s="49">
        <f>SUMIF(Sales!$M$2:$M$569,E17,Sales!$E$2:$E$569)</f>
        <v>465</v>
      </c>
      <c r="G17" s="48">
        <f>SUMIF(Sales!$M$2:$M$569,E17,Sales!$O$2:$O$569)</f>
        <v>177491.84039999999</v>
      </c>
      <c r="H17" s="48">
        <f>SUMIF(Sales!$M$2:$M$569,E17,Sales!$N$2:$N$569)</f>
        <v>211947.92064</v>
      </c>
      <c r="I17" s="48">
        <f t="shared" si="0"/>
        <v>34456.08024000001</v>
      </c>
      <c r="K17" s="55" t="s">
        <v>39</v>
      </c>
      <c r="L17" s="56">
        <f>SUMIF(Sales!$B$2:$B$569,K17,Sales!$N$2:$N$569)</f>
        <v>413380.56468000001</v>
      </c>
    </row>
    <row r="18" spans="4:12" x14ac:dyDescent="0.25">
      <c r="K18" s="55" t="s">
        <v>40</v>
      </c>
      <c r="L18" s="56">
        <f>SUMIF(Sales!$B$2:$B$569,K18,Sales!$N$2:$N$569)</f>
        <v>420092.45895999996</v>
      </c>
    </row>
    <row r="19" spans="4:12" x14ac:dyDescent="0.25">
      <c r="K19" s="55" t="s">
        <v>41</v>
      </c>
      <c r="L19" s="56">
        <f>SUMIF(Sales!$B$2:$B$569,K19,Sales!$N$2:$N$569)</f>
        <v>301205.21912000002</v>
      </c>
    </row>
    <row r="20" spans="4:12" x14ac:dyDescent="0.25">
      <c r="K20" s="55" t="s">
        <v>42</v>
      </c>
      <c r="L20" s="56">
        <f>SUMIF(Sales!$B$2:$B$569,K20,Sales!$N$2:$N$569)</f>
        <v>461768.67236000003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Employees</vt:lpstr>
      <vt:lpstr>Sales</vt:lpstr>
      <vt:lpstr>Report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indzara</dc:creator>
  <cp:lastModifiedBy>indzara</cp:lastModifiedBy>
  <dcterms:created xsi:type="dcterms:W3CDTF">2013-09-11T04:20:45Z</dcterms:created>
  <dcterms:modified xsi:type="dcterms:W3CDTF">2013-11-18T14:21:48Z</dcterms:modified>
</cp:coreProperties>
</file>